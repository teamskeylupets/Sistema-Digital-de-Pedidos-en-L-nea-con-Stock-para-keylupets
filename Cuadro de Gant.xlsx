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5718dae5de936c9/Desktop/"/>
    </mc:Choice>
  </mc:AlternateContent>
  <xr:revisionPtr revIDLastSave="0" documentId="8_{C7E5A489-6367-486D-A812-EC5111AA9891}" xr6:coauthVersionLast="47" xr6:coauthVersionMax="47" xr10:uidLastSave="{00000000-0000-0000-0000-000000000000}"/>
  <bookViews>
    <workbookView xWindow="-110" yWindow="-110" windowWidth="19420" windowHeight="11500" xr2:uid="{60F8DF55-D05E-40AF-997D-A384B8517E49}"/>
  </bookViews>
  <sheets>
    <sheet name="Hoja1" sheetId="1" r:id="rId1"/>
    <sheet name="Cuadro Presupuest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7" i="1" l="1"/>
  <c r="I38" i="1"/>
  <c r="I39" i="1"/>
  <c r="I40" i="1"/>
  <c r="I41" i="1"/>
  <c r="I36" i="1"/>
  <c r="G24" i="1" a="1"/>
  <c r="G24" i="1" s="1"/>
  <c r="I34" i="1"/>
  <c r="I33" i="1"/>
  <c r="M46" i="2"/>
  <c r="I44" i="2"/>
  <c r="I43" i="2"/>
  <c r="I42" i="2"/>
  <c r="K42" i="2" s="1"/>
  <c r="G42" i="2"/>
  <c r="I40" i="2"/>
  <c r="I39" i="2"/>
  <c r="I38" i="2"/>
  <c r="K37" i="2"/>
  <c r="I37" i="2"/>
  <c r="G37" i="2"/>
  <c r="I35" i="2"/>
  <c r="I34" i="2"/>
  <c r="I33" i="2"/>
  <c r="K33" i="2" s="1"/>
  <c r="G33" i="2"/>
  <c r="I31" i="2"/>
  <c r="I30" i="2"/>
  <c r="I29" i="2"/>
  <c r="K29" i="2" s="1"/>
  <c r="M29" i="2" s="1"/>
  <c r="G29" i="2"/>
  <c r="I27" i="2"/>
  <c r="I26" i="2"/>
  <c r="I25" i="2"/>
  <c r="I24" i="2"/>
  <c r="I23" i="2"/>
  <c r="I22" i="2"/>
  <c r="K22" i="2" s="1"/>
  <c r="G22" i="2"/>
  <c r="I20" i="2"/>
  <c r="I19" i="2"/>
  <c r="K18" i="2"/>
  <c r="M18" i="2" s="1"/>
  <c r="G18" i="2"/>
  <c r="G10" i="2"/>
  <c r="I8" i="2"/>
  <c r="I7" i="2"/>
  <c r="I6" i="2"/>
  <c r="I5" i="2"/>
  <c r="K4" i="2"/>
  <c r="M4" i="2" s="1"/>
  <c r="I4" i="2"/>
  <c r="G4" i="2"/>
  <c r="M60" i="1"/>
  <c r="I57" i="1"/>
  <c r="I58" i="1"/>
  <c r="I56" i="1"/>
  <c r="K56" i="1" s="1"/>
  <c r="G56" i="1"/>
  <c r="I52" i="1"/>
  <c r="I53" i="1"/>
  <c r="I54" i="1"/>
  <c r="I51" i="1"/>
  <c r="G51" i="1"/>
  <c r="I48" i="1"/>
  <c r="I49" i="1"/>
  <c r="I47" i="1"/>
  <c r="G47" i="1"/>
  <c r="I44" i="1"/>
  <c r="I45" i="1"/>
  <c r="I43" i="1"/>
  <c r="G43" i="1"/>
  <c r="G36" i="1"/>
  <c r="G32" i="1"/>
  <c r="I19" i="1"/>
  <c r="I20" i="1"/>
  <c r="I21" i="1"/>
  <c r="I22" i="1"/>
  <c r="I18" i="1"/>
  <c r="G18" i="1"/>
  <c r="C14" i="1"/>
  <c r="C13" i="1"/>
  <c r="M37" i="2" l="1"/>
  <c r="N4" i="2"/>
  <c r="K51" i="1"/>
  <c r="M51" i="1" s="1"/>
  <c r="K47" i="1"/>
  <c r="K32" i="1"/>
  <c r="K43" i="1"/>
  <c r="K36" i="1"/>
  <c r="K18" i="1"/>
  <c r="M18" i="1" s="1"/>
  <c r="M32" i="1" l="1"/>
  <c r="N18" i="1" s="1"/>
  <c r="M4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<sst xmlns="http://schemas.openxmlformats.org/spreadsheetml/2006/main" count="213" uniqueCount="95">
  <si>
    <t>N De Actividad</t>
  </si>
  <si>
    <t>Inicio</t>
  </si>
  <si>
    <t>Diaz</t>
  </si>
  <si>
    <t>Final</t>
  </si>
  <si>
    <t>1. Corte</t>
  </si>
  <si>
    <t>Selección De Personal-&gt;</t>
  </si>
  <si>
    <t>Requerimientos-&gt;</t>
  </si>
  <si>
    <t>2.Corte</t>
  </si>
  <si>
    <t>Diseño De Base De Datos -&gt;</t>
  </si>
  <si>
    <t>Planificación de Infraestructura y Presupuesto -&gt;</t>
  </si>
  <si>
    <t>3.Corte</t>
  </si>
  <si>
    <t>Desarrollo del MVP (Backend y Frontend Base)-&gt;</t>
  </si>
  <si>
    <t>Pruebas de Integración y Lógica de Reserva -&gt;</t>
  </si>
  <si>
    <t>4.Corte</t>
  </si>
  <si>
    <t>Diseño de BD y Automatización de Procesos-&gt;</t>
  </si>
  <si>
    <t>Documentación y Manuales de Usuario-&gt;</t>
  </si>
  <si>
    <t>Plan Contigencia</t>
  </si>
  <si>
    <t>Fecha Inicial</t>
  </si>
  <si>
    <t>Fecha Final</t>
  </si>
  <si>
    <t>Presupuesto 2026-2027</t>
  </si>
  <si>
    <t>Item</t>
  </si>
  <si>
    <t>Cargo</t>
  </si>
  <si>
    <t>Nombres</t>
  </si>
  <si>
    <r>
      <t>Presupuesto /</t>
    </r>
    <r>
      <rPr>
        <b/>
        <sz val="15"/>
        <color theme="3"/>
        <rFont val="Aptos Narrow"/>
        <family val="2"/>
        <scheme val="minor"/>
      </rPr>
      <t>mes</t>
    </r>
  </si>
  <si>
    <r>
      <t>Total /</t>
    </r>
    <r>
      <rPr>
        <b/>
        <sz val="15"/>
        <color rgb="FF000000"/>
        <rFont val="Aptos Narrow"/>
        <family val="2"/>
        <scheme val="minor"/>
      </rPr>
      <t>mes</t>
    </r>
  </si>
  <si>
    <t>Presupuesto / año</t>
  </si>
  <si>
    <t>Total / año</t>
  </si>
  <si>
    <t>Selección De Personal</t>
  </si>
  <si>
    <t xml:space="preserve">Analista </t>
  </si>
  <si>
    <t>Jhon Becerra</t>
  </si>
  <si>
    <t>Diseñador</t>
  </si>
  <si>
    <t>Dilan Pineda</t>
  </si>
  <si>
    <t>Desarrollador</t>
  </si>
  <si>
    <t>Camilo Chaparro</t>
  </si>
  <si>
    <t>Seguridad</t>
  </si>
  <si>
    <t>Dayana Garcia</t>
  </si>
  <si>
    <t>Tester</t>
  </si>
  <si>
    <t>Santiago Peña</t>
  </si>
  <si>
    <t>Requerimientos</t>
  </si>
  <si>
    <t>Recursos</t>
  </si>
  <si>
    <t>Valor</t>
  </si>
  <si>
    <t>Total</t>
  </si>
  <si>
    <t>Alquiler de Laptops</t>
  </si>
  <si>
    <t>Conectividad (WiFi/Datos)</t>
  </si>
  <si>
    <t>Viáticos de Transporte</t>
  </si>
  <si>
    <t>Capacitación</t>
  </si>
  <si>
    <t>Papelería y Suministros</t>
  </si>
  <si>
    <t>Alimentacion</t>
  </si>
  <si>
    <t>Reserva de Contingencia</t>
  </si>
  <si>
    <t xml:space="preserve">Diseño De Base De Datos </t>
  </si>
  <si>
    <t xml:space="preserve">Planificación de Infraestructura y Presupuesto </t>
  </si>
  <si>
    <t>Desarrollo del MVP (Backend y Frontend Base)</t>
  </si>
  <si>
    <t xml:space="preserve">Pruebas de Integración y Lógica de Reserva </t>
  </si>
  <si>
    <t>Diseño de BD y Automatización de Procesos</t>
  </si>
  <si>
    <t>Documentación y Manuales de Usuario</t>
  </si>
  <si>
    <t>No se contempla Presupuesta Anual 
por razon de la recoleccion de 
informacion se hara de manera unica.</t>
  </si>
  <si>
    <r>
      <t>Presupuesto /</t>
    </r>
    <r>
      <rPr>
        <b/>
        <sz val="15"/>
        <color theme="1"/>
        <rFont val="Aptos Narrow"/>
        <family val="2"/>
        <scheme val="minor"/>
      </rPr>
      <t xml:space="preserve"> año</t>
    </r>
  </si>
  <si>
    <r>
      <t xml:space="preserve">Total / </t>
    </r>
    <r>
      <rPr>
        <b/>
        <sz val="15"/>
        <color theme="1"/>
        <rFont val="Aptos Narrow"/>
        <family val="2"/>
        <scheme val="minor"/>
      </rPr>
      <t>año</t>
    </r>
  </si>
  <si>
    <t>Total 1 Tiempo</t>
  </si>
  <si>
    <t>Arquitecto de Datos</t>
  </si>
  <si>
    <t>Licencias CASE</t>
  </si>
  <si>
    <t>Instancia de Pruebas</t>
  </si>
  <si>
    <t>Total /mes</t>
  </si>
  <si>
    <t>N/A</t>
  </si>
  <si>
    <t>Servidores Nube (AWS/GCP)</t>
  </si>
  <si>
    <t>Base de Datos Gestionada</t>
  </si>
  <si>
    <t>Pasarela de Pagos (PSE/Wompi)</t>
  </si>
  <si>
    <t>Certificados SSL y Dominio</t>
  </si>
  <si>
    <t>CDN (Cloudflare)</t>
  </si>
  <si>
    <t>APIs de Notificación</t>
  </si>
  <si>
    <t>Total 2 Tiempo</t>
  </si>
  <si>
    <t>Copilot / IA para Código</t>
  </si>
  <si>
    <t>Servicios de Repositorio</t>
  </si>
  <si>
    <t>APIs de Mapas/Logística</t>
  </si>
  <si>
    <r>
      <t xml:space="preserve">Presupuesto / </t>
    </r>
    <r>
      <rPr>
        <b/>
        <sz val="10"/>
        <color theme="1"/>
        <rFont val="Aptos Narrow"/>
        <family val="2"/>
        <scheme val="minor"/>
      </rPr>
      <t>6 Meses</t>
    </r>
  </si>
  <si>
    <r>
      <t xml:space="preserve">Total / </t>
    </r>
    <r>
      <rPr>
        <b/>
        <sz val="10"/>
        <color theme="1"/>
        <rFont val="Aptos Narrow"/>
        <family val="2"/>
        <scheme val="minor"/>
      </rPr>
      <t>6 Meses</t>
    </r>
  </si>
  <si>
    <t>Total 3 Tiempo</t>
  </si>
  <si>
    <t>Herramientas de Testing</t>
  </si>
  <si>
    <t>Entorno de Staging</t>
  </si>
  <si>
    <t>Bolsa de Recompensa (Bug Bounty)</t>
  </si>
  <si>
    <t>Optimización de Consultas</t>
  </si>
  <si>
    <t>Automatización (Scripts)</t>
  </si>
  <si>
    <t>API de Email Marketing</t>
  </si>
  <si>
    <t>Dashboard de Analítica</t>
  </si>
  <si>
    <r>
      <t>Presupuesto / 3</t>
    </r>
    <r>
      <rPr>
        <b/>
        <sz val="10"/>
        <color theme="1"/>
        <rFont val="Aptos Narrow"/>
        <family val="2"/>
        <scheme val="minor"/>
      </rPr>
      <t xml:space="preserve"> Meses</t>
    </r>
  </si>
  <si>
    <r>
      <t>Total / 3</t>
    </r>
    <r>
      <rPr>
        <b/>
        <sz val="10"/>
        <color theme="1"/>
        <rFont val="Aptos Narrow"/>
        <family val="2"/>
        <scheme val="minor"/>
      </rPr>
      <t xml:space="preserve"> Meses</t>
    </r>
  </si>
  <si>
    <t>Total 4 Tiempo</t>
  </si>
  <si>
    <t>Documentación Técnica</t>
  </si>
  <si>
    <t>Manual de Usuario Final</t>
  </si>
  <si>
    <t>Capacitación al Cliente</t>
  </si>
  <si>
    <t>Backups Georendundantes</t>
  </si>
  <si>
    <t>Soporte Post-Lanzamiento</t>
  </si>
  <si>
    <t>Presupuesto Final</t>
  </si>
  <si>
    <r>
      <t>Presupuesto /</t>
    </r>
    <r>
      <rPr>
        <b/>
        <sz val="10"/>
        <color theme="1"/>
        <rFont val="Aptos Narrow"/>
        <family val="2"/>
        <scheme val="minor"/>
      </rPr>
      <t xml:space="preserve"> 3 Meses</t>
    </r>
  </si>
  <si>
    <r>
      <t>Total/</t>
    </r>
    <r>
      <rPr>
        <b/>
        <sz val="10"/>
        <color theme="1"/>
        <rFont val="Aptos Narrow"/>
        <family val="2"/>
        <scheme val="minor"/>
      </rPr>
      <t>3Meses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</si>
</sst>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\ #,##0;[Red]\-&quot;$&quot;\ #,##0"/>
    <numFmt numFmtId="44" formatCode="_-&quot;$&quot;\ * #,##0.00_-;\-&quot;$&quot;\ * #,##0.00_-;_-&quot;$&quot;\ * &quot;-&quot;??_-;_-@_-"/>
    <numFmt numFmtId="164" formatCode="_-[$$-409]* #,##0_ ;_-[$$-409]* \-#,##0\ ;_-[$$-409]* &quot;-&quot;??_ ;_-@_ "/>
    <numFmt numFmtId="165" formatCode="_-&quot;$&quot;\ * #,##0_-;\-&quot;$&quot;\ * #,##0_-;_-&quot;$&quot;\ * &quot;-&quot;??_-;_-@_-"/>
    <numFmt numFmtId="166" formatCode="_-[$$-240A]\ * #,##0_-;\-[$$-240A]\ * #,##0_-;_-[$$-240A]\ * &quot;-&quot;??_-;_-@_-"/>
  </numFmts>
  <fonts count="22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20"/>
      <color theme="3"/>
      <name val="Aptos Narrow"/>
      <family val="2"/>
      <scheme val="minor"/>
    </font>
    <font>
      <b/>
      <sz val="20"/>
      <color rgb="FF00000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5"/>
      <color rgb="FF00000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rgb="FFFF7C80"/>
      <name val="Aptos Narrow"/>
      <family val="2"/>
      <scheme val="minor"/>
    </font>
    <font>
      <b/>
      <u val="singleAccounting"/>
      <sz val="15"/>
      <color rgb="FFFF0000"/>
      <name val="Aptos Narrow"/>
      <family val="2"/>
      <scheme val="minor"/>
    </font>
    <font>
      <b/>
      <u/>
      <sz val="15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20"/>
      <color theme="3"/>
      <name val="Aptos Display"/>
      <family val="2"/>
      <scheme val="major"/>
    </font>
    <font>
      <u val="singleAccounting"/>
      <sz val="120"/>
      <color rgb="FF00B0F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double">
        <color indexed="64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indexed="64"/>
      </bottom>
      <diagonal/>
    </border>
    <border>
      <left style="double">
        <color rgb="FF000000"/>
      </left>
      <right style="double">
        <color rgb="FF000000"/>
      </right>
      <top/>
      <bottom style="double">
        <color indexed="64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double">
        <color indexed="64"/>
      </right>
      <top style="double">
        <color rgb="FF000000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rgb="FF000000"/>
      </left>
      <right/>
      <top style="double">
        <color indexed="64"/>
      </top>
      <bottom style="double">
        <color rgb="FF000000"/>
      </bottom>
      <diagonal/>
    </border>
    <border>
      <left/>
      <right style="double">
        <color indexed="64"/>
      </right>
      <top style="double">
        <color indexed="64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indexed="64"/>
      </bottom>
      <diagonal/>
    </border>
    <border>
      <left/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/>
      <right style="double">
        <color indexed="64"/>
      </right>
      <top style="double">
        <color rgb="FF000000"/>
      </top>
      <bottom style="double">
        <color rgb="FF000000"/>
      </bottom>
      <diagonal/>
    </border>
    <border>
      <left style="double">
        <color indexed="64"/>
      </left>
      <right/>
      <top style="double">
        <color rgb="FF000000"/>
      </top>
      <bottom/>
      <diagonal/>
    </border>
    <border>
      <left style="double">
        <color indexed="64"/>
      </left>
      <right/>
      <top/>
      <bottom style="double">
        <color rgb="FF000000"/>
      </bottom>
      <diagonal/>
    </border>
    <border>
      <left/>
      <right style="double">
        <color indexed="64"/>
      </right>
      <top/>
      <bottom style="double">
        <color rgb="FF000000"/>
      </bottom>
      <diagonal/>
    </border>
    <border>
      <left/>
      <right style="double">
        <color indexed="64"/>
      </right>
      <top style="double">
        <color rgb="FF000000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rgb="FF000000"/>
      </bottom>
      <diagonal/>
    </border>
    <border>
      <left style="double">
        <color indexed="64"/>
      </left>
      <right/>
      <top style="double">
        <color indexed="64"/>
      </top>
      <bottom style="double">
        <color rgb="FF000000"/>
      </bottom>
      <diagonal/>
    </border>
    <border>
      <left/>
      <right style="double">
        <color rgb="FF000000"/>
      </right>
      <top style="double">
        <color indexed="64"/>
      </top>
      <bottom style="double">
        <color rgb="FF000000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5" fillId="0" borderId="6" applyNumberFormat="0" applyFill="0" applyAlignment="0" applyProtection="0"/>
    <xf numFmtId="44" fontId="1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34" applyNumberFormat="0" applyFill="0" applyAlignment="0" applyProtection="0"/>
  </cellStyleXfs>
  <cellXfs count="211">
    <xf numFmtId="0" fontId="0" fillId="0" borderId="0" xfId="0"/>
    <xf numFmtId="0" fontId="0" fillId="0" borderId="2" xfId="0" applyBorder="1"/>
    <xf numFmtId="0" fontId="0" fillId="0" borderId="4" xfId="0" applyBorder="1"/>
    <xf numFmtId="0" fontId="1" fillId="2" borderId="1" xfId="1" applyFill="1"/>
    <xf numFmtId="0" fontId="1" fillId="2" borderId="1" xfId="1" applyFill="1" applyAlignment="1">
      <alignment horizontal="center"/>
    </xf>
    <xf numFmtId="0" fontId="4" fillId="7" borderId="2" xfId="0" applyFont="1" applyFill="1" applyBorder="1" applyAlignment="1">
      <alignment horizontal="center"/>
    </xf>
    <xf numFmtId="14" fontId="4" fillId="7" borderId="2" xfId="0" applyNumberFormat="1" applyFont="1" applyFill="1" applyBorder="1"/>
    <xf numFmtId="14" fontId="4" fillId="7" borderId="5" xfId="0" applyNumberFormat="1" applyFont="1" applyFill="1" applyBorder="1"/>
    <xf numFmtId="0" fontId="4" fillId="8" borderId="2" xfId="0" applyFont="1" applyFill="1" applyBorder="1" applyAlignment="1">
      <alignment horizontal="center"/>
    </xf>
    <xf numFmtId="14" fontId="4" fillId="8" borderId="2" xfId="0" applyNumberFormat="1" applyFont="1" applyFill="1" applyBorder="1"/>
    <xf numFmtId="14" fontId="4" fillId="8" borderId="5" xfId="0" applyNumberFormat="1" applyFont="1" applyFill="1" applyBorder="1"/>
    <xf numFmtId="0" fontId="4" fillId="9" borderId="2" xfId="0" applyFont="1" applyFill="1" applyBorder="1" applyAlignment="1">
      <alignment horizontal="center"/>
    </xf>
    <xf numFmtId="14" fontId="4" fillId="9" borderId="2" xfId="0" applyNumberFormat="1" applyFont="1" applyFill="1" applyBorder="1"/>
    <xf numFmtId="14" fontId="4" fillId="9" borderId="5" xfId="0" applyNumberFormat="1" applyFont="1" applyFill="1" applyBorder="1"/>
    <xf numFmtId="0" fontId="4" fillId="9" borderId="0" xfId="0" applyFont="1" applyFill="1" applyAlignment="1">
      <alignment horizontal="center"/>
    </xf>
    <xf numFmtId="0" fontId="4" fillId="10" borderId="2" xfId="0" applyFont="1" applyFill="1" applyBorder="1" applyAlignment="1">
      <alignment horizontal="center"/>
    </xf>
    <xf numFmtId="14" fontId="4" fillId="10" borderId="2" xfId="0" applyNumberFormat="1" applyFont="1" applyFill="1" applyBorder="1"/>
    <xf numFmtId="14" fontId="4" fillId="10" borderId="5" xfId="0" applyNumberFormat="1" applyFont="1" applyFill="1" applyBorder="1"/>
    <xf numFmtId="0" fontId="4" fillId="10" borderId="0" xfId="0" applyFont="1" applyFill="1" applyAlignment="1">
      <alignment horizontal="center"/>
    </xf>
    <xf numFmtId="0" fontId="4" fillId="11" borderId="2" xfId="0" applyFont="1" applyFill="1" applyBorder="1" applyAlignment="1">
      <alignment horizontal="center"/>
    </xf>
    <xf numFmtId="14" fontId="4" fillId="11" borderId="2" xfId="0" applyNumberFormat="1" applyFont="1" applyFill="1" applyBorder="1"/>
    <xf numFmtId="14" fontId="4" fillId="11" borderId="5" xfId="0" applyNumberFormat="1" applyFont="1" applyFill="1" applyBorder="1"/>
    <xf numFmtId="0" fontId="4" fillId="0" borderId="0" xfId="0" applyFont="1" applyAlignment="1">
      <alignment horizontal="center"/>
    </xf>
    <xf numFmtId="0" fontId="4" fillId="0" borderId="0" xfId="0" applyFont="1"/>
    <xf numFmtId="14" fontId="4" fillId="0" borderId="0" xfId="0" applyNumberFormat="1" applyFont="1"/>
    <xf numFmtId="0" fontId="10" fillId="0" borderId="10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22" xfId="2" applyFont="1" applyBorder="1" applyAlignment="1">
      <alignment horizontal="center"/>
    </xf>
    <xf numFmtId="0" fontId="11" fillId="0" borderId="23" xfId="2" applyFont="1" applyBorder="1" applyAlignment="1">
      <alignment horizontal="center"/>
    </xf>
    <xf numFmtId="0" fontId="10" fillId="0" borderId="14" xfId="0" applyFont="1" applyBorder="1" applyAlignment="1">
      <alignment horizontal="center" vertical="center"/>
    </xf>
    <xf numFmtId="0" fontId="11" fillId="0" borderId="21" xfId="2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0" fillId="0" borderId="21" xfId="0" applyFont="1" applyBorder="1" applyAlignment="1">
      <alignment horizontal="center" vertical="center"/>
    </xf>
    <xf numFmtId="164" fontId="13" fillId="13" borderId="20" xfId="0" applyNumberFormat="1" applyFont="1" applyFill="1" applyBorder="1" applyAlignment="1">
      <alignment horizontal="center" vertical="center"/>
    </xf>
    <xf numFmtId="0" fontId="6" fillId="13" borderId="36" xfId="2" applyFont="1" applyFill="1" applyBorder="1" applyAlignment="1">
      <alignment horizontal="center"/>
    </xf>
    <xf numFmtId="0" fontId="6" fillId="13" borderId="8" xfId="2" applyFont="1" applyFill="1" applyBorder="1" applyAlignment="1">
      <alignment horizontal="center"/>
    </xf>
    <xf numFmtId="0" fontId="6" fillId="15" borderId="8" xfId="2" applyFont="1" applyFill="1" applyBorder="1" applyAlignment="1">
      <alignment horizontal="left"/>
    </xf>
    <xf numFmtId="0" fontId="6" fillId="15" borderId="8" xfId="2" applyFont="1" applyFill="1" applyBorder="1" applyAlignment="1">
      <alignment horizontal="center"/>
    </xf>
    <xf numFmtId="0" fontId="4" fillId="15" borderId="9" xfId="0" applyFont="1" applyFill="1" applyBorder="1" applyAlignment="1">
      <alignment horizontal="center" vertical="center"/>
    </xf>
    <xf numFmtId="6" fontId="2" fillId="0" borderId="7" xfId="0" applyNumberFormat="1" applyFont="1" applyBorder="1"/>
    <xf numFmtId="6" fontId="2" fillId="0" borderId="15" xfId="0" applyNumberFormat="1" applyFont="1" applyBorder="1" applyAlignment="1">
      <alignment horizontal="right"/>
    </xf>
    <xf numFmtId="6" fontId="2" fillId="0" borderId="7" xfId="0" applyNumberFormat="1" applyFont="1" applyBorder="1" applyAlignment="1">
      <alignment horizontal="right"/>
    </xf>
    <xf numFmtId="6" fontId="2" fillId="0" borderId="8" xfId="0" applyNumberFormat="1" applyFont="1" applyBorder="1" applyAlignment="1">
      <alignment horizontal="right"/>
    </xf>
    <xf numFmtId="164" fontId="11" fillId="0" borderId="14" xfId="0" applyNumberFormat="1" applyFont="1" applyBorder="1" applyAlignment="1">
      <alignment horizontal="right"/>
    </xf>
    <xf numFmtId="164" fontId="11" fillId="0" borderId="10" xfId="0" applyNumberFormat="1" applyFont="1" applyBorder="1" applyAlignment="1">
      <alignment horizontal="right"/>
    </xf>
    <xf numFmtId="164" fontId="11" fillId="0" borderId="28" xfId="0" applyNumberFormat="1" applyFont="1" applyBorder="1" applyAlignment="1">
      <alignment horizontal="right"/>
    </xf>
    <xf numFmtId="14" fontId="4" fillId="15" borderId="13" xfId="0" applyNumberFormat="1" applyFont="1" applyFill="1" applyBorder="1" applyAlignment="1">
      <alignment horizontal="center" vertical="center"/>
    </xf>
    <xf numFmtId="14" fontId="4" fillId="15" borderId="7" xfId="0" applyNumberFormat="1" applyFont="1" applyFill="1" applyBorder="1" applyAlignment="1">
      <alignment horizontal="center" vertical="center"/>
    </xf>
    <xf numFmtId="6" fontId="2" fillId="12" borderId="7" xfId="2" applyNumberFormat="1" applyFont="1" applyFill="1" applyBorder="1" applyAlignment="1">
      <alignment horizontal="right" vertical="center"/>
    </xf>
    <xf numFmtId="0" fontId="8" fillId="2" borderId="7" xfId="5" applyFont="1" applyFill="1" applyBorder="1"/>
    <xf numFmtId="164" fontId="13" fillId="13" borderId="7" xfId="0" applyNumberFormat="1" applyFont="1" applyFill="1" applyBorder="1" applyAlignment="1">
      <alignment horizontal="center" vertical="center"/>
    </xf>
    <xf numFmtId="0" fontId="8" fillId="2" borderId="13" xfId="5" applyFont="1" applyFill="1" applyBorder="1"/>
    <xf numFmtId="0" fontId="4" fillId="15" borderId="7" xfId="0" applyFont="1" applyFill="1" applyBorder="1" applyAlignment="1">
      <alignment horizontal="center" vertical="center"/>
    </xf>
    <xf numFmtId="6" fontId="0" fillId="16" borderId="7" xfId="0" applyNumberFormat="1" applyFill="1" applyBorder="1"/>
    <xf numFmtId="0" fontId="8" fillId="2" borderId="8" xfId="5" applyFont="1" applyFill="1" applyBorder="1"/>
    <xf numFmtId="0" fontId="0" fillId="0" borderId="0" xfId="0" applyAlignment="1">
      <alignment horizontal="center"/>
    </xf>
    <xf numFmtId="165" fontId="21" fillId="0" borderId="10" xfId="3" applyNumberFormat="1" applyFont="1" applyBorder="1" applyAlignment="1">
      <alignment horizontal="center" textRotation="90"/>
    </xf>
    <xf numFmtId="165" fontId="21" fillId="0" borderId="35" xfId="3" applyNumberFormat="1" applyFont="1" applyBorder="1" applyAlignment="1">
      <alignment horizontal="center" textRotation="90"/>
    </xf>
    <xf numFmtId="165" fontId="21" fillId="0" borderId="17" xfId="3" applyNumberFormat="1" applyFont="1" applyBorder="1" applyAlignment="1">
      <alignment horizontal="center" textRotation="90"/>
    </xf>
    <xf numFmtId="165" fontId="21" fillId="0" borderId="18" xfId="3" applyNumberFormat="1" applyFont="1" applyBorder="1" applyAlignment="1">
      <alignment horizontal="center" textRotation="90"/>
    </xf>
    <xf numFmtId="165" fontId="21" fillId="0" borderId="36" xfId="3" applyNumberFormat="1" applyFont="1" applyBorder="1" applyAlignment="1">
      <alignment horizontal="center" textRotation="90"/>
    </xf>
    <xf numFmtId="165" fontId="21" fillId="0" borderId="12" xfId="3" applyNumberFormat="1" applyFont="1" applyBorder="1" applyAlignment="1">
      <alignment horizontal="center" textRotation="90"/>
    </xf>
    <xf numFmtId="0" fontId="20" fillId="17" borderId="14" xfId="4" applyFont="1" applyFill="1" applyBorder="1" applyAlignment="1">
      <alignment horizontal="center"/>
    </xf>
    <xf numFmtId="0" fontId="20" fillId="17" borderId="13" xfId="4" applyFont="1" applyFill="1" applyBorder="1" applyAlignment="1">
      <alignment horizontal="center"/>
    </xf>
    <xf numFmtId="0" fontId="6" fillId="18" borderId="10" xfId="2" applyFont="1" applyFill="1" applyBorder="1" applyAlignment="1">
      <alignment horizontal="center"/>
    </xf>
    <xf numFmtId="0" fontId="6" fillId="18" borderId="11" xfId="2" applyFont="1" applyFill="1" applyBorder="1" applyAlignment="1">
      <alignment horizontal="center"/>
    </xf>
    <xf numFmtId="0" fontId="6" fillId="18" borderId="35" xfId="2" applyFont="1" applyFill="1" applyBorder="1" applyAlignment="1">
      <alignment horizontal="center"/>
    </xf>
    <xf numFmtId="0" fontId="6" fillId="18" borderId="36" xfId="2" applyFont="1" applyFill="1" applyBorder="1" applyAlignment="1">
      <alignment horizontal="center"/>
    </xf>
    <xf numFmtId="0" fontId="6" fillId="18" borderId="9" xfId="2" applyFont="1" applyFill="1" applyBorder="1" applyAlignment="1">
      <alignment horizontal="center"/>
    </xf>
    <xf numFmtId="0" fontId="6" fillId="18" borderId="12" xfId="2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6" fontId="18" fillId="0" borderId="15" xfId="0" applyNumberFormat="1" applyFont="1" applyBorder="1" applyAlignment="1">
      <alignment horizontal="center" vertical="center"/>
    </xf>
    <xf numFmtId="6" fontId="18" fillId="0" borderId="16" xfId="0" applyNumberFormat="1" applyFont="1" applyBorder="1" applyAlignment="1">
      <alignment horizontal="center" vertical="center"/>
    </xf>
    <xf numFmtId="6" fontId="18" fillId="0" borderId="8" xfId="0" applyNumberFormat="1" applyFont="1" applyBorder="1" applyAlignment="1">
      <alignment horizontal="center" vertical="center"/>
    </xf>
    <xf numFmtId="14" fontId="4" fillId="11" borderId="14" xfId="0" applyNumberFormat="1" applyFont="1" applyFill="1" applyBorder="1" applyAlignment="1">
      <alignment horizontal="center" vertical="center"/>
    </xf>
    <xf numFmtId="14" fontId="4" fillId="11" borderId="37" xfId="0" applyNumberFormat="1" applyFont="1" applyFill="1" applyBorder="1" applyAlignment="1">
      <alignment horizontal="center" vertical="center"/>
    </xf>
    <xf numFmtId="14" fontId="4" fillId="11" borderId="13" xfId="0" applyNumberFormat="1" applyFont="1" applyFill="1" applyBorder="1" applyAlignment="1">
      <alignment horizontal="center" vertical="center"/>
    </xf>
    <xf numFmtId="0" fontId="0" fillId="16" borderId="14" xfId="0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0" fillId="16" borderId="10" xfId="0" applyFill="1" applyBorder="1" applyAlignment="1">
      <alignment horizontal="center" vertical="center"/>
    </xf>
    <xf numFmtId="0" fontId="0" fillId="16" borderId="35" xfId="0" applyFill="1" applyBorder="1" applyAlignment="1">
      <alignment horizontal="center" vertical="center"/>
    </xf>
    <xf numFmtId="0" fontId="0" fillId="16" borderId="36" xfId="0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6" fontId="0" fillId="16" borderId="15" xfId="0" applyNumberFormat="1" applyFill="1" applyBorder="1" applyAlignment="1">
      <alignment horizontal="center" vertical="center"/>
    </xf>
    <xf numFmtId="6" fontId="0" fillId="16" borderId="8" xfId="0" applyNumberFormat="1" applyFill="1" applyBorder="1" applyAlignment="1">
      <alignment horizontal="center" vertical="center"/>
    </xf>
    <xf numFmtId="14" fontId="4" fillId="16" borderId="15" xfId="0" applyNumberFormat="1" applyFont="1" applyFill="1" applyBorder="1" applyAlignment="1">
      <alignment horizontal="center" vertical="center"/>
    </xf>
    <xf numFmtId="14" fontId="4" fillId="16" borderId="8" xfId="0" applyNumberFormat="1" applyFont="1" applyFill="1" applyBorder="1" applyAlignment="1">
      <alignment horizontal="center" vertical="center"/>
    </xf>
    <xf numFmtId="0" fontId="4" fillId="16" borderId="15" xfId="0" applyFont="1" applyFill="1" applyBorder="1" applyAlignment="1">
      <alignment horizontal="center" vertical="center"/>
    </xf>
    <xf numFmtId="0" fontId="4" fillId="16" borderId="8" xfId="0" applyFont="1" applyFill="1" applyBorder="1" applyAlignment="1">
      <alignment horizontal="center" vertical="center"/>
    </xf>
    <xf numFmtId="0" fontId="5" fillId="13" borderId="14" xfId="2" applyFill="1" applyBorder="1" applyAlignment="1">
      <alignment horizontal="center" vertical="center"/>
    </xf>
    <xf numFmtId="0" fontId="5" fillId="13" borderId="13" xfId="2" applyFill="1" applyBorder="1" applyAlignment="1">
      <alignment horizontal="center" vertical="center"/>
    </xf>
    <xf numFmtId="0" fontId="9" fillId="14" borderId="14" xfId="0" applyFont="1" applyFill="1" applyBorder="1" applyAlignment="1">
      <alignment horizontal="left"/>
    </xf>
    <xf numFmtId="0" fontId="9" fillId="14" borderId="13" xfId="0" applyFont="1" applyFill="1" applyBorder="1" applyAlignment="1">
      <alignment horizontal="left"/>
    </xf>
    <xf numFmtId="0" fontId="8" fillId="13" borderId="14" xfId="0" applyFont="1" applyFill="1" applyBorder="1" applyAlignment="1">
      <alignment horizontal="left"/>
    </xf>
    <xf numFmtId="0" fontId="8" fillId="13" borderId="13" xfId="0" applyFont="1" applyFill="1" applyBorder="1" applyAlignment="1">
      <alignment horizontal="left"/>
    </xf>
    <xf numFmtId="0" fontId="8" fillId="14" borderId="14" xfId="0" applyFont="1" applyFill="1" applyBorder="1" applyAlignment="1">
      <alignment horizontal="center"/>
    </xf>
    <xf numFmtId="0" fontId="8" fillId="14" borderId="13" xfId="0" applyFont="1" applyFill="1" applyBorder="1" applyAlignment="1">
      <alignment horizontal="center"/>
    </xf>
    <xf numFmtId="14" fontId="4" fillId="12" borderId="15" xfId="0" applyNumberFormat="1" applyFont="1" applyFill="1" applyBorder="1" applyAlignment="1">
      <alignment horizontal="center" vertical="center"/>
    </xf>
    <xf numFmtId="14" fontId="4" fillId="12" borderId="16" xfId="0" applyNumberFormat="1" applyFont="1" applyFill="1" applyBorder="1" applyAlignment="1">
      <alignment horizontal="center" vertical="center"/>
    </xf>
    <xf numFmtId="14" fontId="4" fillId="12" borderId="8" xfId="0" applyNumberFormat="1" applyFont="1" applyFill="1" applyBorder="1" applyAlignment="1">
      <alignment horizontal="center" vertical="center"/>
    </xf>
    <xf numFmtId="0" fontId="4" fillId="12" borderId="15" xfId="0" applyFont="1" applyFill="1" applyBorder="1" applyAlignment="1">
      <alignment horizontal="center" vertical="center"/>
    </xf>
    <xf numFmtId="0" fontId="4" fillId="12" borderId="16" xfId="0" applyFont="1" applyFill="1" applyBorder="1" applyAlignment="1">
      <alignment horizontal="center" vertical="center"/>
    </xf>
    <xf numFmtId="0" fontId="4" fillId="12" borderId="8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6" fontId="2" fillId="0" borderId="10" xfId="0" applyNumberFormat="1" applyFont="1" applyBorder="1" applyAlignment="1">
      <alignment horizontal="center" textRotation="45"/>
    </xf>
    <xf numFmtId="6" fontId="2" fillId="0" borderId="35" xfId="0" applyNumberFormat="1" applyFont="1" applyBorder="1" applyAlignment="1">
      <alignment horizontal="center" textRotation="45"/>
    </xf>
    <xf numFmtId="6" fontId="2" fillId="0" borderId="17" xfId="0" applyNumberFormat="1" applyFont="1" applyBorder="1" applyAlignment="1">
      <alignment horizontal="center" textRotation="45"/>
    </xf>
    <xf numFmtId="6" fontId="2" fillId="0" borderId="18" xfId="0" applyNumberFormat="1" applyFont="1" applyBorder="1" applyAlignment="1">
      <alignment horizontal="center" textRotation="45"/>
    </xf>
    <xf numFmtId="6" fontId="2" fillId="0" borderId="36" xfId="0" applyNumberFormat="1" applyFont="1" applyBorder="1" applyAlignment="1">
      <alignment horizontal="center" textRotation="45"/>
    </xf>
    <xf numFmtId="6" fontId="2" fillId="0" borderId="12" xfId="0" applyNumberFormat="1" applyFont="1" applyBorder="1" applyAlignment="1">
      <alignment horizontal="center" textRotation="45"/>
    </xf>
    <xf numFmtId="6" fontId="2" fillId="0" borderId="14" xfId="0" applyNumberFormat="1" applyFont="1" applyBorder="1" applyAlignment="1">
      <alignment horizontal="center"/>
    </xf>
    <xf numFmtId="6" fontId="2" fillId="0" borderId="13" xfId="0" applyNumberFormat="1" applyFont="1" applyBorder="1" applyAlignment="1">
      <alignment horizontal="center"/>
    </xf>
    <xf numFmtId="6" fontId="2" fillId="0" borderId="10" xfId="0" applyNumberFormat="1" applyFont="1" applyBorder="1" applyAlignment="1">
      <alignment horizontal="center" vertical="center" textRotation="45"/>
    </xf>
    <xf numFmtId="6" fontId="2" fillId="0" borderId="35" xfId="0" applyNumberFormat="1" applyFont="1" applyBorder="1" applyAlignment="1">
      <alignment horizontal="center" vertical="center" textRotation="45"/>
    </xf>
    <xf numFmtId="6" fontId="2" fillId="0" borderId="17" xfId="0" applyNumberFormat="1" applyFont="1" applyBorder="1" applyAlignment="1">
      <alignment horizontal="center" vertical="center" textRotation="45"/>
    </xf>
    <xf numFmtId="6" fontId="2" fillId="0" borderId="18" xfId="0" applyNumberFormat="1" applyFont="1" applyBorder="1" applyAlignment="1">
      <alignment horizontal="center" vertical="center" textRotation="45"/>
    </xf>
    <xf numFmtId="6" fontId="2" fillId="0" borderId="36" xfId="0" applyNumberFormat="1" applyFont="1" applyBorder="1" applyAlignment="1">
      <alignment horizontal="center" vertical="center" textRotation="45"/>
    </xf>
    <xf numFmtId="6" fontId="2" fillId="0" borderId="12" xfId="0" applyNumberFormat="1" applyFont="1" applyBorder="1" applyAlignment="1">
      <alignment horizontal="center" vertical="center" textRotation="45"/>
    </xf>
    <xf numFmtId="6" fontId="5" fillId="12" borderId="10" xfId="2" applyNumberFormat="1" applyFill="1" applyBorder="1" applyAlignment="1">
      <alignment horizontal="center" vertical="center" textRotation="45"/>
    </xf>
    <xf numFmtId="6" fontId="5" fillId="12" borderId="35" xfId="2" applyNumberFormat="1" applyFill="1" applyBorder="1" applyAlignment="1">
      <alignment horizontal="center" vertical="center" textRotation="45"/>
    </xf>
    <xf numFmtId="6" fontId="5" fillId="12" borderId="17" xfId="2" applyNumberFormat="1" applyFill="1" applyBorder="1" applyAlignment="1">
      <alignment horizontal="center" vertical="center" textRotation="45"/>
    </xf>
    <xf numFmtId="6" fontId="5" fillId="12" borderId="18" xfId="2" applyNumberFormat="1" applyFill="1" applyBorder="1" applyAlignment="1">
      <alignment horizontal="center" vertical="center" textRotation="45"/>
    </xf>
    <xf numFmtId="6" fontId="5" fillId="12" borderId="36" xfId="2" applyNumberFormat="1" applyFill="1" applyBorder="1" applyAlignment="1">
      <alignment horizontal="center" vertical="center" textRotation="45"/>
    </xf>
    <xf numFmtId="6" fontId="5" fillId="12" borderId="12" xfId="2" applyNumberFormat="1" applyFill="1" applyBorder="1" applyAlignment="1">
      <alignment horizontal="center" vertical="center" textRotation="45"/>
    </xf>
    <xf numFmtId="0" fontId="2" fillId="12" borderId="14" xfId="2" applyFont="1" applyFill="1" applyBorder="1" applyAlignment="1">
      <alignment horizontal="center" vertical="center"/>
    </xf>
    <xf numFmtId="0" fontId="2" fillId="12" borderId="13" xfId="2" applyFont="1" applyFill="1" applyBorder="1" applyAlignment="1">
      <alignment horizontal="center" vertical="center"/>
    </xf>
    <xf numFmtId="0" fontId="5" fillId="13" borderId="40" xfId="2" applyFill="1" applyBorder="1" applyAlignment="1">
      <alignment horizontal="center" vertical="center"/>
    </xf>
    <xf numFmtId="0" fontId="5" fillId="13" borderId="41" xfId="2" applyFill="1" applyBorder="1" applyAlignment="1">
      <alignment horizontal="center" vertical="center"/>
    </xf>
    <xf numFmtId="165" fontId="17" fillId="0" borderId="15" xfId="0" applyNumberFormat="1" applyFont="1" applyBorder="1" applyAlignment="1">
      <alignment horizontal="right" vertical="center" indent="1"/>
    </xf>
    <xf numFmtId="165" fontId="17" fillId="0" borderId="16" xfId="0" applyNumberFormat="1" applyFont="1" applyBorder="1" applyAlignment="1">
      <alignment horizontal="right" vertical="center" indent="1"/>
    </xf>
    <xf numFmtId="165" fontId="17" fillId="0" borderId="8" xfId="0" applyNumberFormat="1" applyFont="1" applyBorder="1" applyAlignment="1">
      <alignment horizontal="right" vertical="center" indent="1"/>
    </xf>
    <xf numFmtId="0" fontId="9" fillId="14" borderId="40" xfId="0" applyFont="1" applyFill="1" applyBorder="1" applyAlignment="1">
      <alignment horizontal="left"/>
    </xf>
    <xf numFmtId="0" fontId="9" fillId="14" borderId="46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 vertical="center" textRotation="45"/>
    </xf>
    <xf numFmtId="0" fontId="2" fillId="3" borderId="4" xfId="0" applyFont="1" applyFill="1" applyBorder="1" applyAlignment="1">
      <alignment horizontal="center" vertical="center" textRotation="45"/>
    </xf>
    <xf numFmtId="0" fontId="2" fillId="4" borderId="3" xfId="0" applyFont="1" applyFill="1" applyBorder="1" applyAlignment="1">
      <alignment horizontal="center" textRotation="45"/>
    </xf>
    <xf numFmtId="0" fontId="2" fillId="4" borderId="4" xfId="0" applyFont="1" applyFill="1" applyBorder="1" applyAlignment="1">
      <alignment horizontal="center" textRotation="45"/>
    </xf>
    <xf numFmtId="0" fontId="2" fillId="5" borderId="3" xfId="0" applyFont="1" applyFill="1" applyBorder="1" applyAlignment="1">
      <alignment horizontal="center" textRotation="45"/>
    </xf>
    <xf numFmtId="0" fontId="2" fillId="5" borderId="4" xfId="0" applyFont="1" applyFill="1" applyBorder="1" applyAlignment="1">
      <alignment horizontal="center" textRotation="45"/>
    </xf>
    <xf numFmtId="0" fontId="2" fillId="6" borderId="3" xfId="0" applyFont="1" applyFill="1" applyBorder="1" applyAlignment="1">
      <alignment horizontal="center" textRotation="45"/>
    </xf>
    <xf numFmtId="0" fontId="2" fillId="6" borderId="4" xfId="0" applyFont="1" applyFill="1" applyBorder="1" applyAlignment="1">
      <alignment horizontal="center" textRotation="45"/>
    </xf>
    <xf numFmtId="0" fontId="12" fillId="13" borderId="48" xfId="0" applyFont="1" applyFill="1" applyBorder="1" applyAlignment="1">
      <alignment horizontal="left"/>
    </xf>
    <xf numFmtId="0" fontId="12" fillId="13" borderId="49" xfId="0" applyFont="1" applyFill="1" applyBorder="1" applyAlignment="1">
      <alignment horizontal="left"/>
    </xf>
    <xf numFmtId="14" fontId="4" fillId="12" borderId="21" xfId="0" applyNumberFormat="1" applyFont="1" applyFill="1" applyBorder="1" applyAlignment="1">
      <alignment horizontal="center" vertical="center"/>
    </xf>
    <xf numFmtId="14" fontId="4" fillId="12" borderId="29" xfId="0" applyNumberFormat="1" applyFont="1" applyFill="1" applyBorder="1" applyAlignment="1">
      <alignment horizontal="center" vertical="center"/>
    </xf>
    <xf numFmtId="14" fontId="4" fillId="12" borderId="31" xfId="0" applyNumberFormat="1" applyFont="1" applyFill="1" applyBorder="1" applyAlignment="1">
      <alignment horizontal="center" vertical="center"/>
    </xf>
    <xf numFmtId="14" fontId="4" fillId="12" borderId="47" xfId="0" applyNumberFormat="1" applyFont="1" applyFill="1" applyBorder="1" applyAlignment="1">
      <alignment horizontal="center" vertical="center"/>
    </xf>
    <xf numFmtId="14" fontId="10" fillId="12" borderId="15" xfId="0" applyNumberFormat="1" applyFont="1" applyFill="1" applyBorder="1" applyAlignment="1">
      <alignment horizontal="center" vertical="center"/>
    </xf>
    <xf numFmtId="14" fontId="10" fillId="12" borderId="16" xfId="0" applyNumberFormat="1" applyFont="1" applyFill="1" applyBorder="1" applyAlignment="1">
      <alignment horizontal="center" vertical="center"/>
    </xf>
    <xf numFmtId="14" fontId="10" fillId="12" borderId="47" xfId="0" applyNumberFormat="1" applyFont="1" applyFill="1" applyBorder="1" applyAlignment="1">
      <alignment horizontal="center" vertical="center"/>
    </xf>
    <xf numFmtId="0" fontId="10" fillId="12" borderId="10" xfId="0" applyFont="1" applyFill="1" applyBorder="1" applyAlignment="1">
      <alignment horizontal="center" vertical="center"/>
    </xf>
    <xf numFmtId="0" fontId="10" fillId="12" borderId="17" xfId="0" applyFont="1" applyFill="1" applyBorder="1" applyAlignment="1">
      <alignment horizontal="center" vertical="center"/>
    </xf>
    <xf numFmtId="0" fontId="10" fillId="12" borderId="36" xfId="0" applyFont="1" applyFill="1" applyBorder="1" applyAlignment="1">
      <alignment horizontal="center" vertical="center"/>
    </xf>
    <xf numFmtId="0" fontId="5" fillId="13" borderId="32" xfId="2" applyFill="1" applyBorder="1" applyAlignment="1">
      <alignment horizontal="center" vertical="center"/>
    </xf>
    <xf numFmtId="0" fontId="5" fillId="13" borderId="19" xfId="2" applyFill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14" borderId="38" xfId="0" applyFont="1" applyFill="1" applyBorder="1" applyAlignment="1">
      <alignment horizontal="center"/>
    </xf>
    <xf numFmtId="0" fontId="12" fillId="14" borderId="39" xfId="0" applyFont="1" applyFill="1" applyBorder="1" applyAlignment="1">
      <alignment horizontal="center"/>
    </xf>
    <xf numFmtId="164" fontId="2" fillId="0" borderId="24" xfId="0" applyNumberFormat="1" applyFont="1" applyBorder="1" applyAlignment="1">
      <alignment horizontal="center" textRotation="45"/>
    </xf>
    <xf numFmtId="164" fontId="2" fillId="0" borderId="33" xfId="0" applyNumberFormat="1" applyFont="1" applyBorder="1" applyAlignment="1">
      <alignment horizontal="center" textRotation="45"/>
    </xf>
    <xf numFmtId="164" fontId="2" fillId="0" borderId="25" xfId="0" applyNumberFormat="1" applyFont="1" applyBorder="1" applyAlignment="1">
      <alignment horizontal="center" textRotation="45"/>
    </xf>
    <xf numFmtId="164" fontId="2" fillId="0" borderId="18" xfId="0" applyNumberFormat="1" applyFont="1" applyBorder="1" applyAlignment="1">
      <alignment horizontal="center" textRotation="45"/>
    </xf>
    <xf numFmtId="164" fontId="2" fillId="0" borderId="30" xfId="0" applyNumberFormat="1" applyFont="1" applyBorder="1" applyAlignment="1">
      <alignment horizontal="center" textRotation="45"/>
    </xf>
    <xf numFmtId="164" fontId="2" fillId="0" borderId="12" xfId="0" applyNumberFormat="1" applyFont="1" applyBorder="1" applyAlignment="1">
      <alignment horizontal="center" textRotation="45"/>
    </xf>
    <xf numFmtId="164" fontId="8" fillId="14" borderId="32" xfId="0" applyNumberFormat="1" applyFont="1" applyFill="1" applyBorder="1" applyAlignment="1">
      <alignment horizontal="center" vertical="center"/>
    </xf>
    <xf numFmtId="164" fontId="8" fillId="14" borderId="42" xfId="0" applyNumberFormat="1" applyFont="1" applyFill="1" applyBorder="1" applyAlignment="1">
      <alignment horizontal="center" vertical="center"/>
    </xf>
    <xf numFmtId="166" fontId="8" fillId="0" borderId="43" xfId="3" applyNumberFormat="1" applyFont="1" applyBorder="1" applyAlignment="1">
      <alignment horizontal="right" vertical="center" textRotation="45"/>
    </xf>
    <xf numFmtId="166" fontId="8" fillId="0" borderId="33" xfId="3" applyNumberFormat="1" applyFont="1" applyBorder="1" applyAlignment="1">
      <alignment horizontal="right" vertical="center" textRotation="45"/>
    </xf>
    <xf numFmtId="166" fontId="8" fillId="0" borderId="17" xfId="3" applyNumberFormat="1" applyFont="1" applyBorder="1" applyAlignment="1">
      <alignment horizontal="right" vertical="center" textRotation="45"/>
    </xf>
    <xf numFmtId="166" fontId="8" fillId="0" borderId="18" xfId="3" applyNumberFormat="1" applyFont="1" applyBorder="1" applyAlignment="1">
      <alignment horizontal="right" vertical="center" textRotation="45"/>
    </xf>
    <xf numFmtId="166" fontId="8" fillId="0" borderId="44" xfId="3" applyNumberFormat="1" applyFont="1" applyBorder="1" applyAlignment="1">
      <alignment horizontal="right" vertical="center" textRotation="45"/>
    </xf>
    <xf numFmtId="166" fontId="8" fillId="0" borderId="45" xfId="3" applyNumberFormat="1" applyFont="1" applyBorder="1" applyAlignment="1">
      <alignment horizontal="right" vertical="center" textRotation="45"/>
    </xf>
    <xf numFmtId="0" fontId="10" fillId="0" borderId="32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164" fontId="2" fillId="0" borderId="32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164" fontId="2" fillId="0" borderId="40" xfId="0" applyNumberFormat="1" applyFont="1" applyBorder="1" applyAlignment="1">
      <alignment horizontal="center"/>
    </xf>
    <xf numFmtId="164" fontId="2" fillId="0" borderId="41" xfId="0" applyNumberFormat="1" applyFont="1" applyBorder="1" applyAlignment="1">
      <alignment horizontal="center"/>
    </xf>
    <xf numFmtId="0" fontId="4" fillId="12" borderId="28" xfId="0" applyFont="1" applyFill="1" applyBorder="1" applyAlignment="1">
      <alignment horizontal="center" vertical="center"/>
    </xf>
    <xf numFmtId="0" fontId="4" fillId="12" borderId="25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7" fillId="14" borderId="38" xfId="0" applyFont="1" applyFill="1" applyBorder="1" applyAlignment="1">
      <alignment horizontal="left"/>
    </xf>
    <xf numFmtId="0" fontId="7" fillId="14" borderId="39" xfId="0" applyFont="1" applyFill="1" applyBorder="1" applyAlignment="1">
      <alignment horizontal="left"/>
    </xf>
    <xf numFmtId="164" fontId="8" fillId="0" borderId="24" xfId="0" applyNumberFormat="1" applyFont="1" applyBorder="1" applyAlignment="1">
      <alignment horizontal="center" vertical="center" textRotation="45"/>
    </xf>
    <xf numFmtId="164" fontId="8" fillId="0" borderId="20" xfId="0" applyNumberFormat="1" applyFont="1" applyBorder="1" applyAlignment="1">
      <alignment horizontal="center" vertical="center" textRotation="45"/>
    </xf>
    <xf numFmtId="164" fontId="8" fillId="0" borderId="25" xfId="0" applyNumberFormat="1" applyFont="1" applyBorder="1" applyAlignment="1">
      <alignment horizontal="center" vertical="center" textRotation="45"/>
    </xf>
    <xf numFmtId="164" fontId="8" fillId="0" borderId="26" xfId="0" applyNumberFormat="1" applyFont="1" applyBorder="1" applyAlignment="1">
      <alignment horizontal="center" vertical="center" textRotation="45"/>
    </xf>
    <xf numFmtId="164" fontId="8" fillId="0" borderId="22" xfId="0" applyNumberFormat="1" applyFont="1" applyBorder="1" applyAlignment="1">
      <alignment horizontal="center" vertical="center" textRotation="45"/>
    </xf>
    <xf numFmtId="164" fontId="8" fillId="0" borderId="27" xfId="0" applyNumberFormat="1" applyFont="1" applyBorder="1" applyAlignment="1">
      <alignment horizontal="center" vertical="center" textRotation="45"/>
    </xf>
    <xf numFmtId="0" fontId="6" fillId="0" borderId="10" xfId="2" applyFont="1" applyBorder="1" applyAlignment="1">
      <alignment horizontal="center"/>
    </xf>
    <xf numFmtId="0" fontId="6" fillId="0" borderId="11" xfId="2" applyFont="1" applyBorder="1" applyAlignment="1">
      <alignment horizontal="center"/>
    </xf>
    <xf numFmtId="0" fontId="6" fillId="0" borderId="35" xfId="2" applyFont="1" applyBorder="1" applyAlignment="1">
      <alignment horizontal="center"/>
    </xf>
    <xf numFmtId="0" fontId="6" fillId="0" borderId="36" xfId="2" applyFont="1" applyBorder="1" applyAlignment="1">
      <alignment horizontal="center"/>
    </xf>
    <xf numFmtId="0" fontId="6" fillId="0" borderId="9" xfId="2" applyFont="1" applyBorder="1" applyAlignment="1">
      <alignment horizontal="center"/>
    </xf>
    <xf numFmtId="0" fontId="6" fillId="0" borderId="12" xfId="2" applyFont="1" applyBorder="1" applyAlignment="1">
      <alignment horizontal="center"/>
    </xf>
  </cellXfs>
  <cellStyles count="6">
    <cellStyle name="Encabezado 1" xfId="1" builtinId="16"/>
    <cellStyle name="Moneda" xfId="3" builtinId="4"/>
    <cellStyle name="Normal" xfId="0" builtinId="0"/>
    <cellStyle name="Título" xfId="4" builtinId="15"/>
    <cellStyle name="Título 2" xfId="2" builtinId="17"/>
    <cellStyle name="Total" xfId="5" builtinId="25"/>
  </cellStyles>
  <dxfs count="0"/>
  <tableStyles count="0" defaultTableStyle="TableStyleMedium2" defaultPivotStyle="PivotStyleLight16"/>
  <colors>
    <mruColors>
      <color rgb="FFFFCCCC"/>
      <color rgb="FFFFFFCC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1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s-CO" sz="3000" b="1">
                <a:solidFill>
                  <a:srgbClr val="FFFF00"/>
                </a:solidFill>
              </a:rPr>
              <a:t>Proyeccion</a:t>
            </a:r>
            <a:r>
              <a:rPr lang="es-CO" sz="3000" b="1" baseline="0">
                <a:solidFill>
                  <a:srgbClr val="FFFF00"/>
                </a:solidFill>
              </a:rPr>
              <a:t> 2026/2027</a:t>
            </a:r>
            <a:endParaRPr lang="es-CO" sz="3000" b="1">
              <a:solidFill>
                <a:srgbClr val="FFFF00"/>
              </a:solidFill>
            </a:endParaRPr>
          </a:p>
        </c:rich>
      </c:tx>
      <c:layout>
        <c:manualLayout>
          <c:xMode val="edge"/>
          <c:yMode val="edge"/>
          <c:x val="0.44317523436894324"/>
          <c:y val="1.49623753854038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1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0572024988104557"/>
          <c:y val="0.16250366677030872"/>
          <c:w val="0.87283725499224873"/>
          <c:h val="0.70510354479774229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Hoja1!$B$3:$B$11</c:f>
              <c:strCache>
                <c:ptCount val="9"/>
                <c:pt idx="0">
                  <c:v>Selección De Personal-&gt;</c:v>
                </c:pt>
                <c:pt idx="1">
                  <c:v>Requerimientos-&gt;</c:v>
                </c:pt>
                <c:pt idx="2">
                  <c:v>Diseño De Base De Datos -&gt;</c:v>
                </c:pt>
                <c:pt idx="3">
                  <c:v>Planificación de Infraestructura y Presupuesto -&gt;</c:v>
                </c:pt>
                <c:pt idx="4">
                  <c:v>Desarrollo del MVP (Backend y Frontend Base)-&gt;</c:v>
                </c:pt>
                <c:pt idx="5">
                  <c:v>Pruebas de Integración y Lógica de Reserva -&gt;</c:v>
                </c:pt>
                <c:pt idx="6">
                  <c:v>Diseño de BD y Automatización de Procesos-&gt;</c:v>
                </c:pt>
                <c:pt idx="7">
                  <c:v>Documentación y Manuales de Usuario-&gt;</c:v>
                </c:pt>
                <c:pt idx="8">
                  <c:v>Plan Contigencia</c:v>
                </c:pt>
              </c:strCache>
            </c:strRef>
          </c:cat>
          <c:val>
            <c:numRef>
              <c:f>Hoja1!$C$3:$C$11</c:f>
              <c:numCache>
                <c:formatCode>m/d/yyyy</c:formatCode>
                <c:ptCount val="9"/>
                <c:pt idx="0">
                  <c:v>46056</c:v>
                </c:pt>
                <c:pt idx="1">
                  <c:v>46096</c:v>
                </c:pt>
                <c:pt idx="2">
                  <c:v>46146</c:v>
                </c:pt>
                <c:pt idx="3">
                  <c:v>46200</c:v>
                </c:pt>
                <c:pt idx="4">
                  <c:v>46237</c:v>
                </c:pt>
                <c:pt idx="5">
                  <c:v>46298</c:v>
                </c:pt>
                <c:pt idx="6">
                  <c:v>46330</c:v>
                </c:pt>
                <c:pt idx="7">
                  <c:v>46391</c:v>
                </c:pt>
                <c:pt idx="8">
                  <c:v>46423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4-4C83-8851-43A656A89F1B}"/>
            </c:ext>
          </c:extLst>
        </c:ser>
        <c:ser>
          <c:idx val="1"/>
          <c:order val="1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cap="none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Hoja1!$B$3:$B$11</c:f>
              <c:strCache>
                <c:ptCount val="9"/>
                <c:pt idx="0">
                  <c:v>Selección De Personal-&gt;</c:v>
                </c:pt>
                <c:pt idx="1">
                  <c:v>Requerimientos-&gt;</c:v>
                </c:pt>
                <c:pt idx="2">
                  <c:v>Diseño De Base De Datos -&gt;</c:v>
                </c:pt>
                <c:pt idx="3">
                  <c:v>Planificación de Infraestructura y Presupuesto -&gt;</c:v>
                </c:pt>
                <c:pt idx="4">
                  <c:v>Desarrollo del MVP (Backend y Frontend Base)-&gt;</c:v>
                </c:pt>
                <c:pt idx="5">
                  <c:v>Pruebas de Integración y Lógica de Reserva -&gt;</c:v>
                </c:pt>
                <c:pt idx="6">
                  <c:v>Diseño de BD y Automatización de Procesos-&gt;</c:v>
                </c:pt>
                <c:pt idx="7">
                  <c:v>Documentación y Manuales de Usuario-&gt;</c:v>
                </c:pt>
                <c:pt idx="8">
                  <c:v>Plan Contigencia</c:v>
                </c:pt>
              </c:strCache>
            </c:strRef>
          </c:cat>
          <c:val>
            <c:numRef>
              <c:f>Hoja1!$D$3:$D$11</c:f>
              <c:numCache>
                <c:formatCode>General</c:formatCode>
                <c:ptCount val="9"/>
                <c:pt idx="0">
                  <c:v>40</c:v>
                </c:pt>
                <c:pt idx="1">
                  <c:v>49</c:v>
                </c:pt>
                <c:pt idx="2">
                  <c:v>53</c:v>
                </c:pt>
                <c:pt idx="3">
                  <c:v>36</c:v>
                </c:pt>
                <c:pt idx="4">
                  <c:v>60</c:v>
                </c:pt>
                <c:pt idx="5">
                  <c:v>32</c:v>
                </c:pt>
                <c:pt idx="6">
                  <c:v>60</c:v>
                </c:pt>
                <c:pt idx="7">
                  <c:v>32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84-4C83-8851-43A656A89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1130624"/>
        <c:axId val="21149344"/>
      </c:barChart>
      <c:catAx>
        <c:axId val="2113062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149344"/>
        <c:crosses val="autoZero"/>
        <c:auto val="1"/>
        <c:lblAlgn val="ctr"/>
        <c:lblOffset val="100"/>
        <c:noMultiLvlLbl val="0"/>
      </c:catAx>
      <c:valAx>
        <c:axId val="21149344"/>
        <c:scaling>
          <c:orientation val="minMax"/>
          <c:max val="46447"/>
          <c:min val="46056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inorGridlines>
        <c:numFmt formatCode="d/mm/yy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130624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1113516</xdr:colOff>
      <xdr:row>0</xdr:row>
      <xdr:rowOff>0</xdr:rowOff>
    </xdr:from>
    <xdr:to>
      <xdr:col>35</xdr:col>
      <xdr:colOff>106114</xdr:colOff>
      <xdr:row>61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96AC1E-5955-3FE9-C721-5FF27E08F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A398-4573-47EE-BA05-DF30E696B0AF}">
  <dimension ref="A1:O62"/>
  <sheetViews>
    <sheetView tabSelected="1" topLeftCell="A47" zoomScale="58" workbookViewId="0">
      <selection activeCell="F2" sqref="F2:O14"/>
    </sheetView>
  </sheetViews>
  <sheetFormatPr baseColWidth="10" defaultColWidth="10.81640625" defaultRowHeight="14.5" x14ac:dyDescent="0.35"/>
  <cols>
    <col min="1" max="1" width="11" style="56" bestFit="1" customWidth="1"/>
    <col min="2" max="2" width="43" style="56" customWidth="1"/>
    <col min="3" max="3" width="41.36328125" style="56" customWidth="1"/>
    <col min="4" max="4" width="13.81640625" style="56" bestFit="1" customWidth="1"/>
    <col min="5" max="5" width="16.1796875" style="56" bestFit="1" customWidth="1"/>
    <col min="6" max="6" width="28.7265625" style="56" bestFit="1" customWidth="1"/>
    <col min="7" max="7" width="10.81640625" style="56"/>
    <col min="8" max="8" width="7.1796875" style="56" customWidth="1"/>
    <col min="9" max="9" width="10.81640625" style="56"/>
    <col min="10" max="10" width="15.54296875" style="56" customWidth="1"/>
    <col min="11" max="11" width="10.81640625" style="56" customWidth="1"/>
    <col min="12" max="12" width="10.36328125" style="56" customWidth="1"/>
    <col min="13" max="13" width="22.90625" style="56" bestFit="1" customWidth="1"/>
    <col min="14" max="14" width="12.36328125" style="56" customWidth="1"/>
    <col min="15" max="15" width="16.26953125" style="56" customWidth="1"/>
    <col min="16" max="16384" width="10.81640625" style="56"/>
  </cols>
  <sheetData>
    <row r="1" spans="1:15" ht="59" hidden="1" customHeight="1" x14ac:dyDescent="0.35"/>
    <row r="2" spans="1:15" customFormat="1" ht="20" thickBot="1" x14ac:dyDescent="0.5">
      <c r="A2" s="2"/>
      <c r="B2" s="3" t="s">
        <v>0</v>
      </c>
      <c r="C2" s="4" t="s">
        <v>1</v>
      </c>
      <c r="D2" s="4" t="s">
        <v>2</v>
      </c>
      <c r="E2" s="4" t="s">
        <v>3</v>
      </c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5" customFormat="1" ht="22.5" customHeight="1" thickTop="1" x14ac:dyDescent="0.35">
      <c r="A3" s="135" t="s">
        <v>4</v>
      </c>
      <c r="B3" s="5" t="s">
        <v>5</v>
      </c>
      <c r="C3" s="6">
        <v>46056</v>
      </c>
      <c r="D3" s="5">
        <v>40</v>
      </c>
      <c r="E3" s="7">
        <v>46096</v>
      </c>
      <c r="F3" s="56"/>
      <c r="G3" s="56"/>
      <c r="H3" s="56"/>
      <c r="I3" s="56"/>
      <c r="J3" s="56"/>
      <c r="K3" s="56"/>
      <c r="L3" s="56"/>
      <c r="M3" s="56"/>
      <c r="N3" s="56"/>
      <c r="O3" s="56"/>
    </row>
    <row r="4" spans="1:15" customFormat="1" ht="21" customHeight="1" x14ac:dyDescent="0.35">
      <c r="A4" s="136"/>
      <c r="B4" s="5" t="s">
        <v>6</v>
      </c>
      <c r="C4" s="6">
        <v>46096</v>
      </c>
      <c r="D4" s="5">
        <v>49</v>
      </c>
      <c r="E4" s="7">
        <v>46145</v>
      </c>
      <c r="F4" s="56"/>
      <c r="G4" s="56"/>
      <c r="H4" s="56"/>
      <c r="I4" s="56"/>
      <c r="J4" s="56"/>
      <c r="K4" s="56"/>
      <c r="L4" s="56"/>
      <c r="M4" s="56"/>
      <c r="N4" s="56"/>
      <c r="O4" s="56"/>
    </row>
    <row r="5" spans="1:15" customFormat="1" ht="18" customHeight="1" x14ac:dyDescent="0.35">
      <c r="A5" s="137" t="s">
        <v>7</v>
      </c>
      <c r="B5" s="8" t="s">
        <v>8</v>
      </c>
      <c r="C5" s="9">
        <v>46146</v>
      </c>
      <c r="D5" s="8">
        <v>53</v>
      </c>
      <c r="E5" s="10">
        <v>46199</v>
      </c>
      <c r="F5" s="56"/>
      <c r="G5" s="56"/>
      <c r="H5" s="56"/>
      <c r="I5" s="56"/>
      <c r="J5" s="56"/>
      <c r="K5" s="56"/>
      <c r="L5" s="56"/>
      <c r="M5" s="56"/>
      <c r="N5" s="56"/>
      <c r="O5" s="56"/>
    </row>
    <row r="6" spans="1:15" customFormat="1" ht="18.649999999999999" customHeight="1" x14ac:dyDescent="0.35">
      <c r="A6" s="138"/>
      <c r="B6" s="8" t="s">
        <v>9</v>
      </c>
      <c r="C6" s="9">
        <v>46200</v>
      </c>
      <c r="D6" s="8">
        <v>36</v>
      </c>
      <c r="E6" s="10">
        <v>46236</v>
      </c>
      <c r="F6" s="56"/>
      <c r="G6" s="56"/>
      <c r="H6" s="56"/>
      <c r="I6" s="56"/>
      <c r="J6" s="56"/>
      <c r="K6" s="56"/>
      <c r="L6" s="56"/>
      <c r="M6" s="56"/>
      <c r="N6" s="56"/>
      <c r="O6" s="56"/>
    </row>
    <row r="7" spans="1:15" customFormat="1" ht="19.5" customHeight="1" x14ac:dyDescent="0.35">
      <c r="A7" s="139" t="s">
        <v>10</v>
      </c>
      <c r="B7" s="11" t="s">
        <v>11</v>
      </c>
      <c r="C7" s="12">
        <v>46237</v>
      </c>
      <c r="D7" s="11">
        <v>60</v>
      </c>
      <c r="E7" s="13">
        <v>46297</v>
      </c>
      <c r="F7" s="56"/>
      <c r="G7" s="56"/>
      <c r="H7" s="56"/>
      <c r="I7" s="56"/>
      <c r="J7" s="56"/>
      <c r="K7" s="56"/>
      <c r="L7" s="56"/>
      <c r="M7" s="56"/>
      <c r="N7" s="56"/>
      <c r="O7" s="56"/>
    </row>
    <row r="8" spans="1:15" customFormat="1" ht="19.5" customHeight="1" x14ac:dyDescent="0.35">
      <c r="A8" s="140"/>
      <c r="B8" s="14" t="s">
        <v>12</v>
      </c>
      <c r="C8" s="12">
        <v>46298</v>
      </c>
      <c r="D8" s="11">
        <v>32</v>
      </c>
      <c r="E8" s="13">
        <v>46329</v>
      </c>
      <c r="F8" s="56"/>
      <c r="G8" s="56"/>
      <c r="H8" s="56"/>
      <c r="I8" s="56"/>
      <c r="J8" s="56"/>
      <c r="K8" s="56"/>
      <c r="L8" s="56"/>
      <c r="M8" s="56"/>
      <c r="N8" s="56"/>
      <c r="O8" s="56"/>
    </row>
    <row r="9" spans="1:15" customFormat="1" ht="18" customHeight="1" x14ac:dyDescent="0.35">
      <c r="A9" s="141" t="s">
        <v>13</v>
      </c>
      <c r="B9" s="15" t="s">
        <v>14</v>
      </c>
      <c r="C9" s="16">
        <v>46330</v>
      </c>
      <c r="D9" s="15">
        <v>60</v>
      </c>
      <c r="E9" s="17">
        <v>46390</v>
      </c>
      <c r="F9" s="56"/>
      <c r="G9" s="56"/>
      <c r="H9" s="56"/>
      <c r="I9" s="56"/>
      <c r="J9" s="56"/>
      <c r="K9" s="56"/>
      <c r="L9" s="56"/>
      <c r="M9" s="56"/>
      <c r="N9" s="56"/>
      <c r="O9" s="56"/>
    </row>
    <row r="10" spans="1:15" customFormat="1" ht="18.649999999999999" customHeight="1" x14ac:dyDescent="0.35">
      <c r="A10" s="142"/>
      <c r="B10" s="18" t="s">
        <v>15</v>
      </c>
      <c r="C10" s="16">
        <v>46391</v>
      </c>
      <c r="D10" s="15">
        <v>32</v>
      </c>
      <c r="E10" s="17">
        <v>46422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</row>
    <row r="11" spans="1:15" customFormat="1" x14ac:dyDescent="0.35">
      <c r="A11" s="1"/>
      <c r="B11" s="19" t="s">
        <v>16</v>
      </c>
      <c r="C11" s="20">
        <v>46423</v>
      </c>
      <c r="D11" s="19">
        <v>15</v>
      </c>
      <c r="E11" s="21">
        <v>46434</v>
      </c>
      <c r="F11" s="56"/>
      <c r="G11" s="56"/>
      <c r="H11" s="56"/>
      <c r="I11" s="56"/>
      <c r="J11" s="56"/>
      <c r="K11" s="56"/>
      <c r="L11" s="56"/>
      <c r="M11" s="56"/>
      <c r="N11" s="56"/>
      <c r="O11" s="56"/>
    </row>
    <row r="12" spans="1:15" customFormat="1" ht="59" hidden="1" customHeight="1" x14ac:dyDescent="0.35">
      <c r="B12" s="22"/>
      <c r="C12" s="23"/>
      <c r="D12" s="23"/>
      <c r="E12" s="23"/>
      <c r="F12" s="56"/>
      <c r="G12" s="56"/>
      <c r="H12" s="56"/>
      <c r="I12" s="56"/>
      <c r="J12" s="56"/>
      <c r="K12" s="56"/>
      <c r="L12" s="56"/>
      <c r="M12" s="56"/>
      <c r="N12" s="56"/>
      <c r="O12" s="56"/>
    </row>
    <row r="13" spans="1:15" customFormat="1" x14ac:dyDescent="0.35">
      <c r="B13" s="22" t="s">
        <v>17</v>
      </c>
      <c r="C13" s="24">
        <f>MIN(C3:C11)</f>
        <v>46056</v>
      </c>
      <c r="D13" s="23"/>
      <c r="E13" s="23"/>
      <c r="F13" s="56"/>
      <c r="G13" s="56"/>
      <c r="H13" s="56"/>
      <c r="I13" s="56"/>
      <c r="J13" s="56"/>
      <c r="K13" s="56"/>
      <c r="L13" s="56"/>
      <c r="M13" s="56"/>
      <c r="N13" s="56"/>
      <c r="O13" s="56"/>
    </row>
    <row r="14" spans="1:15" customFormat="1" ht="15" thickBot="1" x14ac:dyDescent="0.4">
      <c r="B14" s="22" t="s">
        <v>18</v>
      </c>
      <c r="C14" s="24">
        <f>MAX(E3:E11)</f>
        <v>46434</v>
      </c>
      <c r="D14" s="23"/>
      <c r="E14" s="23"/>
      <c r="F14" s="71"/>
      <c r="G14" s="71"/>
      <c r="H14" s="71"/>
      <c r="I14" s="71"/>
      <c r="J14" s="71"/>
      <c r="K14" s="71"/>
      <c r="L14" s="71"/>
      <c r="M14" s="71"/>
      <c r="N14" s="71"/>
      <c r="O14" s="71"/>
    </row>
    <row r="15" spans="1:15" customFormat="1" ht="15" customHeight="1" thickTop="1" x14ac:dyDescent="0.35">
      <c r="A15" s="65" t="s">
        <v>19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7"/>
    </row>
    <row r="16" spans="1:15" customFormat="1" ht="15" customHeight="1" thickBot="1" x14ac:dyDescent="0.4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70"/>
    </row>
    <row r="17" spans="1:15" customFormat="1" ht="27" thickTop="1" thickBot="1" x14ac:dyDescent="0.65">
      <c r="A17" s="37" t="s">
        <v>1</v>
      </c>
      <c r="B17" s="38" t="s">
        <v>3</v>
      </c>
      <c r="C17" s="38" t="s">
        <v>20</v>
      </c>
      <c r="D17" s="35" t="s">
        <v>21</v>
      </c>
      <c r="E17" s="36" t="s">
        <v>22</v>
      </c>
      <c r="F17" s="35" t="s">
        <v>23</v>
      </c>
      <c r="G17" s="197" t="s">
        <v>24</v>
      </c>
      <c r="H17" s="198"/>
      <c r="I17" s="143" t="s">
        <v>56</v>
      </c>
      <c r="J17" s="144"/>
      <c r="K17" s="172" t="s">
        <v>57</v>
      </c>
      <c r="L17" s="173"/>
      <c r="M17" s="55" t="s">
        <v>58</v>
      </c>
      <c r="N17" s="63" t="s">
        <v>92</v>
      </c>
      <c r="O17" s="64"/>
    </row>
    <row r="18" spans="1:15" customFormat="1" ht="17.149999999999999" customHeight="1" thickTop="1" thickBot="1" x14ac:dyDescent="0.45">
      <c r="A18" s="98">
        <v>46056</v>
      </c>
      <c r="B18" s="149">
        <v>46096</v>
      </c>
      <c r="C18" s="152" t="s">
        <v>27</v>
      </c>
      <c r="D18" s="26" t="s">
        <v>28</v>
      </c>
      <c r="E18" s="27" t="s">
        <v>29</v>
      </c>
      <c r="F18" s="44">
        <v>4500000</v>
      </c>
      <c r="G18" s="199">
        <f>SUM(F18:F22)</f>
        <v>22300000</v>
      </c>
      <c r="H18" s="200"/>
      <c r="I18" s="190">
        <f>F18*12</f>
        <v>54000000</v>
      </c>
      <c r="J18" s="191"/>
      <c r="K18" s="174">
        <f>SUM(I18:J22)</f>
        <v>267600000</v>
      </c>
      <c r="L18" s="175"/>
      <c r="M18" s="130">
        <f>SUM(G24,K18)</f>
        <v>279410000</v>
      </c>
      <c r="N18" s="57">
        <f>SUM(M18,M32,M43,M51,M60)</f>
        <v>335310000</v>
      </c>
      <c r="O18" s="58"/>
    </row>
    <row r="19" spans="1:15" customFormat="1" ht="17.149999999999999" customHeight="1" thickTop="1" thickBot="1" x14ac:dyDescent="0.45">
      <c r="A19" s="99"/>
      <c r="B19" s="150"/>
      <c r="C19" s="153"/>
      <c r="D19" s="26" t="s">
        <v>30</v>
      </c>
      <c r="E19" s="28" t="s">
        <v>31</v>
      </c>
      <c r="F19" s="45">
        <v>3800000</v>
      </c>
      <c r="G19" s="201"/>
      <c r="H19" s="202"/>
      <c r="I19" s="190">
        <f t="shared" ref="I19:I22" si="0">F19*12</f>
        <v>45600000</v>
      </c>
      <c r="J19" s="191"/>
      <c r="K19" s="176"/>
      <c r="L19" s="177"/>
      <c r="M19" s="131"/>
      <c r="N19" s="59"/>
      <c r="O19" s="60"/>
    </row>
    <row r="20" spans="1:15" customFormat="1" ht="19" customHeight="1" thickTop="1" thickBot="1" x14ac:dyDescent="0.45">
      <c r="A20" s="99"/>
      <c r="B20" s="150"/>
      <c r="C20" s="153"/>
      <c r="D20" s="29" t="s">
        <v>32</v>
      </c>
      <c r="E20" s="30" t="s">
        <v>33</v>
      </c>
      <c r="F20" s="46">
        <v>5500000</v>
      </c>
      <c r="G20" s="201"/>
      <c r="H20" s="202"/>
      <c r="I20" s="190">
        <f t="shared" si="0"/>
        <v>66000000</v>
      </c>
      <c r="J20" s="191"/>
      <c r="K20" s="176"/>
      <c r="L20" s="177"/>
      <c r="M20" s="131"/>
      <c r="N20" s="59"/>
      <c r="O20" s="60"/>
    </row>
    <row r="21" spans="1:15" customFormat="1" ht="17" customHeight="1" thickTop="1" thickBot="1" x14ac:dyDescent="0.45">
      <c r="A21" s="99"/>
      <c r="B21" s="150"/>
      <c r="C21" s="153"/>
      <c r="D21" s="25" t="s">
        <v>34</v>
      </c>
      <c r="E21" s="31" t="s">
        <v>35</v>
      </c>
      <c r="F21" s="45">
        <v>5000000</v>
      </c>
      <c r="G21" s="201"/>
      <c r="H21" s="202"/>
      <c r="I21" s="190">
        <f t="shared" si="0"/>
        <v>60000000</v>
      </c>
      <c r="J21" s="191"/>
      <c r="K21" s="176"/>
      <c r="L21" s="177"/>
      <c r="M21" s="131"/>
      <c r="N21" s="59"/>
      <c r="O21" s="60"/>
    </row>
    <row r="22" spans="1:15" customFormat="1" ht="17" customHeight="1" thickTop="1" thickBot="1" x14ac:dyDescent="0.45">
      <c r="A22" s="148"/>
      <c r="B22" s="151"/>
      <c r="C22" s="154"/>
      <c r="D22" s="33" t="s">
        <v>36</v>
      </c>
      <c r="E22" s="32" t="s">
        <v>37</v>
      </c>
      <c r="F22" s="45">
        <v>3500000</v>
      </c>
      <c r="G22" s="203"/>
      <c r="H22" s="204"/>
      <c r="I22" s="192">
        <f t="shared" si="0"/>
        <v>42000000</v>
      </c>
      <c r="J22" s="193"/>
      <c r="K22" s="178"/>
      <c r="L22" s="179"/>
      <c r="M22" s="131"/>
      <c r="N22" s="59"/>
      <c r="O22" s="60"/>
    </row>
    <row r="23" spans="1:15" customFormat="1" ht="20.5" customHeight="1" thickTop="1" thickBot="1" x14ac:dyDescent="0.4">
      <c r="A23" s="145">
        <v>46096</v>
      </c>
      <c r="B23" s="145">
        <v>46145</v>
      </c>
      <c r="C23" s="194" t="s">
        <v>38</v>
      </c>
      <c r="D23" s="155" t="s">
        <v>39</v>
      </c>
      <c r="E23" s="156"/>
      <c r="F23" s="34" t="s">
        <v>40</v>
      </c>
      <c r="G23" s="180" t="s">
        <v>94</v>
      </c>
      <c r="H23" s="181"/>
      <c r="I23" s="163" t="s">
        <v>55</v>
      </c>
      <c r="J23" s="164"/>
      <c r="K23" s="164"/>
      <c r="L23" s="165"/>
      <c r="M23" s="131"/>
      <c r="N23" s="59"/>
      <c r="O23" s="60"/>
    </row>
    <row r="24" spans="1:15" customFormat="1" ht="19.5" customHeight="1" thickTop="1" thickBot="1" x14ac:dyDescent="0.4">
      <c r="A24" s="146"/>
      <c r="B24" s="146"/>
      <c r="C24" s="195"/>
      <c r="D24" s="157" t="s">
        <v>42</v>
      </c>
      <c r="E24" s="158"/>
      <c r="F24" s="41">
        <v>1250000</v>
      </c>
      <c r="G24" s="182" cm="1">
        <f t="array" ref="G24">SUM(F24:F30*2)</f>
        <v>11810000</v>
      </c>
      <c r="H24" s="183"/>
      <c r="I24" s="166"/>
      <c r="J24" s="167"/>
      <c r="K24" s="167"/>
      <c r="L24" s="168"/>
      <c r="M24" s="131"/>
      <c r="N24" s="59"/>
      <c r="O24" s="60"/>
    </row>
    <row r="25" spans="1:15" customFormat="1" ht="17" customHeight="1" thickTop="1" thickBot="1" x14ac:dyDescent="0.4">
      <c r="A25" s="146"/>
      <c r="B25" s="146"/>
      <c r="C25" s="195"/>
      <c r="D25" s="159" t="s">
        <v>43</v>
      </c>
      <c r="E25" s="160"/>
      <c r="F25" s="42">
        <v>450000</v>
      </c>
      <c r="G25" s="184"/>
      <c r="H25" s="185"/>
      <c r="I25" s="166"/>
      <c r="J25" s="167"/>
      <c r="K25" s="167"/>
      <c r="L25" s="168"/>
      <c r="M25" s="131"/>
      <c r="N25" s="59"/>
      <c r="O25" s="60"/>
    </row>
    <row r="26" spans="1:15" customFormat="1" ht="17" customHeight="1" thickTop="1" thickBot="1" x14ac:dyDescent="0.4">
      <c r="A26" s="146"/>
      <c r="B26" s="146"/>
      <c r="C26" s="195"/>
      <c r="D26" s="159" t="s">
        <v>44</v>
      </c>
      <c r="E26" s="160"/>
      <c r="F26" s="42">
        <v>400000</v>
      </c>
      <c r="G26" s="184"/>
      <c r="H26" s="185"/>
      <c r="I26" s="166"/>
      <c r="J26" s="167"/>
      <c r="K26" s="167"/>
      <c r="L26" s="168"/>
      <c r="M26" s="131"/>
      <c r="N26" s="59"/>
      <c r="O26" s="60"/>
    </row>
    <row r="27" spans="1:15" customFormat="1" ht="17" customHeight="1" thickTop="1" thickBot="1" x14ac:dyDescent="0.4">
      <c r="A27" s="146"/>
      <c r="B27" s="146"/>
      <c r="C27" s="195"/>
      <c r="D27" s="161" t="s">
        <v>45</v>
      </c>
      <c r="E27" s="162"/>
      <c r="F27" s="42">
        <v>800000</v>
      </c>
      <c r="G27" s="184"/>
      <c r="H27" s="185"/>
      <c r="I27" s="166"/>
      <c r="J27" s="167"/>
      <c r="K27" s="167"/>
      <c r="L27" s="168"/>
      <c r="M27" s="131"/>
      <c r="N27" s="59"/>
      <c r="O27" s="60"/>
    </row>
    <row r="28" spans="1:15" customFormat="1" ht="17" customHeight="1" thickTop="1" thickBot="1" x14ac:dyDescent="0.4">
      <c r="A28" s="146"/>
      <c r="B28" s="146"/>
      <c r="C28" s="195"/>
      <c r="D28" s="188" t="s">
        <v>46</v>
      </c>
      <c r="E28" s="189"/>
      <c r="F28" s="42">
        <v>200000</v>
      </c>
      <c r="G28" s="184"/>
      <c r="H28" s="185"/>
      <c r="I28" s="166"/>
      <c r="J28" s="167"/>
      <c r="K28" s="167"/>
      <c r="L28" s="168"/>
      <c r="M28" s="131"/>
      <c r="N28" s="59"/>
      <c r="O28" s="60"/>
    </row>
    <row r="29" spans="1:15" customFormat="1" ht="17" customHeight="1" thickTop="1" thickBot="1" x14ac:dyDescent="0.4">
      <c r="A29" s="146"/>
      <c r="B29" s="146"/>
      <c r="C29" s="195"/>
      <c r="D29" s="188" t="s">
        <v>47</v>
      </c>
      <c r="E29" s="189"/>
      <c r="F29" s="42">
        <v>2200000</v>
      </c>
      <c r="G29" s="184"/>
      <c r="H29" s="185"/>
      <c r="I29" s="166"/>
      <c r="J29" s="167"/>
      <c r="K29" s="167"/>
      <c r="L29" s="168"/>
      <c r="M29" s="131"/>
      <c r="N29" s="59"/>
      <c r="O29" s="60"/>
    </row>
    <row r="30" spans="1:15" customFormat="1" ht="17" customHeight="1" thickTop="1" thickBot="1" x14ac:dyDescent="0.4">
      <c r="A30" s="147"/>
      <c r="B30" s="147"/>
      <c r="C30" s="196"/>
      <c r="D30" s="188" t="s">
        <v>48</v>
      </c>
      <c r="E30" s="189"/>
      <c r="F30" s="43">
        <v>605000</v>
      </c>
      <c r="G30" s="186"/>
      <c r="H30" s="187"/>
      <c r="I30" s="169"/>
      <c r="J30" s="170"/>
      <c r="K30" s="170"/>
      <c r="L30" s="171"/>
      <c r="M30" s="132"/>
      <c r="N30" s="59"/>
      <c r="O30" s="60"/>
    </row>
    <row r="31" spans="1:15" customFormat="1" ht="20.5" thickTop="1" thickBot="1" x14ac:dyDescent="0.5">
      <c r="A31" s="48"/>
      <c r="B31" s="47"/>
      <c r="C31" s="39"/>
      <c r="D31" s="128" t="s">
        <v>20</v>
      </c>
      <c r="E31" s="129"/>
      <c r="F31" s="34" t="s">
        <v>40</v>
      </c>
      <c r="G31" s="133" t="s">
        <v>62</v>
      </c>
      <c r="H31" s="134"/>
      <c r="I31" s="94" t="s">
        <v>93</v>
      </c>
      <c r="J31" s="95"/>
      <c r="K31" s="96" t="s">
        <v>85</v>
      </c>
      <c r="L31" s="97"/>
      <c r="M31" s="50" t="s">
        <v>70</v>
      </c>
      <c r="N31" s="59"/>
      <c r="O31" s="60"/>
    </row>
    <row r="32" spans="1:15" customFormat="1" ht="19.5" customHeight="1" thickTop="1" thickBot="1" x14ac:dyDescent="0.4">
      <c r="A32" s="98">
        <v>46146</v>
      </c>
      <c r="B32" s="98">
        <v>46199</v>
      </c>
      <c r="C32" s="101" t="s">
        <v>49</v>
      </c>
      <c r="D32" s="104" t="s">
        <v>59</v>
      </c>
      <c r="E32" s="105"/>
      <c r="F32" s="40">
        <v>6000000</v>
      </c>
      <c r="G32" s="106">
        <f>SUM(F32:F34)</f>
        <v>6700000</v>
      </c>
      <c r="H32" s="107"/>
      <c r="I32" s="104" t="s">
        <v>63</v>
      </c>
      <c r="J32" s="105"/>
      <c r="K32" s="106">
        <f>SUM(I33:J34,F32)</f>
        <v>8100000</v>
      </c>
      <c r="L32" s="107"/>
      <c r="M32" s="72">
        <f>SUM(K32,K36)</f>
        <v>34800000</v>
      </c>
      <c r="N32" s="59"/>
      <c r="O32" s="60"/>
    </row>
    <row r="33" spans="1:15" customFormat="1" ht="19" customHeight="1" thickTop="1" thickBot="1" x14ac:dyDescent="0.4">
      <c r="A33" s="99"/>
      <c r="B33" s="99"/>
      <c r="C33" s="102"/>
      <c r="D33" s="104" t="s">
        <v>60</v>
      </c>
      <c r="E33" s="105"/>
      <c r="F33" s="40">
        <v>450000</v>
      </c>
      <c r="G33" s="108"/>
      <c r="H33" s="109"/>
      <c r="I33" s="112">
        <f>F33*3</f>
        <v>1350000</v>
      </c>
      <c r="J33" s="113"/>
      <c r="K33" s="108"/>
      <c r="L33" s="109"/>
      <c r="M33" s="73"/>
      <c r="N33" s="59"/>
      <c r="O33" s="60"/>
    </row>
    <row r="34" spans="1:15" customFormat="1" ht="20" customHeight="1" thickTop="1" thickBot="1" x14ac:dyDescent="0.4">
      <c r="A34" s="100"/>
      <c r="B34" s="100"/>
      <c r="C34" s="103"/>
      <c r="D34" s="104" t="s">
        <v>61</v>
      </c>
      <c r="E34" s="105"/>
      <c r="F34" s="40">
        <v>250000</v>
      </c>
      <c r="G34" s="110"/>
      <c r="H34" s="111"/>
      <c r="I34" s="112">
        <f>F34*3</f>
        <v>750000</v>
      </c>
      <c r="J34" s="113"/>
      <c r="K34" s="110"/>
      <c r="L34" s="111"/>
      <c r="M34" s="73"/>
      <c r="N34" s="59"/>
      <c r="O34" s="60"/>
    </row>
    <row r="35" spans="1:15" customFormat="1" ht="20" customHeight="1" thickTop="1" thickBot="1" x14ac:dyDescent="0.5">
      <c r="A35" s="98">
        <v>46200</v>
      </c>
      <c r="B35" s="98">
        <v>46236</v>
      </c>
      <c r="C35" s="101" t="s">
        <v>50</v>
      </c>
      <c r="D35" s="90"/>
      <c r="E35" s="91"/>
      <c r="F35" s="51"/>
      <c r="G35" s="92" t="s">
        <v>62</v>
      </c>
      <c r="H35" s="93"/>
      <c r="I35" s="94" t="s">
        <v>25</v>
      </c>
      <c r="J35" s="95"/>
      <c r="K35" s="96" t="s">
        <v>26</v>
      </c>
      <c r="L35" s="97"/>
      <c r="M35" s="73"/>
      <c r="N35" s="59"/>
      <c r="O35" s="60"/>
    </row>
    <row r="36" spans="1:15" customFormat="1" ht="20" customHeight="1" thickTop="1" thickBot="1" x14ac:dyDescent="0.4">
      <c r="A36" s="99"/>
      <c r="B36" s="99"/>
      <c r="C36" s="102"/>
      <c r="D36" s="126" t="s">
        <v>64</v>
      </c>
      <c r="E36" s="127"/>
      <c r="F36" s="49">
        <v>1800000</v>
      </c>
      <c r="G36" s="120">
        <f>SUM(F36:F41)</f>
        <v>4450000</v>
      </c>
      <c r="H36" s="121"/>
      <c r="I36" s="112">
        <f>F36*6</f>
        <v>10800000</v>
      </c>
      <c r="J36" s="113"/>
      <c r="K36" s="114">
        <f>SUM(I36:J41)</f>
        <v>26700000</v>
      </c>
      <c r="L36" s="115"/>
      <c r="M36" s="73"/>
      <c r="N36" s="59"/>
      <c r="O36" s="60"/>
    </row>
    <row r="37" spans="1:15" customFormat="1" ht="20" customHeight="1" thickTop="1" thickBot="1" x14ac:dyDescent="0.4">
      <c r="A37" s="99"/>
      <c r="B37" s="99"/>
      <c r="C37" s="102"/>
      <c r="D37" s="126" t="s">
        <v>65</v>
      </c>
      <c r="E37" s="127"/>
      <c r="F37" s="49">
        <v>800000</v>
      </c>
      <c r="G37" s="122"/>
      <c r="H37" s="123"/>
      <c r="I37" s="112">
        <f t="shared" ref="I37:I41" si="1">F37*6</f>
        <v>4800000</v>
      </c>
      <c r="J37" s="113"/>
      <c r="K37" s="116"/>
      <c r="L37" s="117"/>
      <c r="M37" s="73"/>
      <c r="N37" s="59"/>
      <c r="O37" s="60"/>
    </row>
    <row r="38" spans="1:15" customFormat="1" ht="20" customHeight="1" thickTop="1" thickBot="1" x14ac:dyDescent="0.4">
      <c r="A38" s="99"/>
      <c r="B38" s="99"/>
      <c r="C38" s="102"/>
      <c r="D38" s="126" t="s">
        <v>66</v>
      </c>
      <c r="E38" s="127"/>
      <c r="F38" s="49">
        <v>1200000</v>
      </c>
      <c r="G38" s="122"/>
      <c r="H38" s="123"/>
      <c r="I38" s="112">
        <f t="shared" si="1"/>
        <v>7200000</v>
      </c>
      <c r="J38" s="113"/>
      <c r="K38" s="116"/>
      <c r="L38" s="117"/>
      <c r="M38" s="73"/>
      <c r="N38" s="59"/>
      <c r="O38" s="60"/>
    </row>
    <row r="39" spans="1:15" customFormat="1" ht="20" customHeight="1" thickTop="1" thickBot="1" x14ac:dyDescent="0.4">
      <c r="A39" s="99"/>
      <c r="B39" s="99"/>
      <c r="C39" s="102"/>
      <c r="D39" s="126" t="s">
        <v>67</v>
      </c>
      <c r="E39" s="127"/>
      <c r="F39" s="49">
        <v>300000</v>
      </c>
      <c r="G39" s="122"/>
      <c r="H39" s="123"/>
      <c r="I39" s="112">
        <f t="shared" si="1"/>
        <v>1800000</v>
      </c>
      <c r="J39" s="113"/>
      <c r="K39" s="116"/>
      <c r="L39" s="117"/>
      <c r="M39" s="73"/>
      <c r="N39" s="59"/>
      <c r="O39" s="60"/>
    </row>
    <row r="40" spans="1:15" customFormat="1" ht="20" customHeight="1" thickTop="1" thickBot="1" x14ac:dyDescent="0.4">
      <c r="A40" s="99"/>
      <c r="B40" s="99"/>
      <c r="C40" s="102"/>
      <c r="D40" s="104" t="s">
        <v>68</v>
      </c>
      <c r="E40" s="105"/>
      <c r="F40" s="49">
        <v>150000</v>
      </c>
      <c r="G40" s="122"/>
      <c r="H40" s="123"/>
      <c r="I40" s="112">
        <f t="shared" si="1"/>
        <v>900000</v>
      </c>
      <c r="J40" s="113"/>
      <c r="K40" s="116"/>
      <c r="L40" s="117"/>
      <c r="M40" s="73"/>
      <c r="N40" s="59"/>
      <c r="O40" s="60"/>
    </row>
    <row r="41" spans="1:15" customFormat="1" ht="15.5" customHeight="1" thickTop="1" thickBot="1" x14ac:dyDescent="0.4">
      <c r="A41" s="100"/>
      <c r="B41" s="100"/>
      <c r="C41" s="103"/>
      <c r="D41" s="126" t="s">
        <v>69</v>
      </c>
      <c r="E41" s="127"/>
      <c r="F41" s="42">
        <v>200000</v>
      </c>
      <c r="G41" s="124"/>
      <c r="H41" s="125"/>
      <c r="I41" s="112">
        <f t="shared" si="1"/>
        <v>1200000</v>
      </c>
      <c r="J41" s="113"/>
      <c r="K41" s="118"/>
      <c r="L41" s="119"/>
      <c r="M41" s="74"/>
      <c r="N41" s="59"/>
      <c r="O41" s="60"/>
    </row>
    <row r="42" spans="1:15" customFormat="1" ht="21.5" customHeight="1" thickTop="1" thickBot="1" x14ac:dyDescent="0.5">
      <c r="A42" s="48"/>
      <c r="B42" s="47"/>
      <c r="C42" s="39"/>
      <c r="D42" s="90" t="s">
        <v>20</v>
      </c>
      <c r="E42" s="91"/>
      <c r="F42" s="51" t="s">
        <v>40</v>
      </c>
      <c r="G42" s="92" t="s">
        <v>62</v>
      </c>
      <c r="H42" s="93"/>
      <c r="I42" s="94" t="s">
        <v>74</v>
      </c>
      <c r="J42" s="95"/>
      <c r="K42" s="96" t="s">
        <v>75</v>
      </c>
      <c r="L42" s="97"/>
      <c r="M42" s="52" t="s">
        <v>76</v>
      </c>
      <c r="N42" s="59"/>
      <c r="O42" s="60"/>
    </row>
    <row r="43" spans="1:15" customFormat="1" ht="27" customHeight="1" thickTop="1" thickBot="1" x14ac:dyDescent="0.4">
      <c r="A43" s="98">
        <v>46237</v>
      </c>
      <c r="B43" s="98">
        <v>46297</v>
      </c>
      <c r="C43" s="101" t="s">
        <v>51</v>
      </c>
      <c r="D43" s="104" t="s">
        <v>71</v>
      </c>
      <c r="E43" s="105"/>
      <c r="F43" s="40">
        <v>100000</v>
      </c>
      <c r="G43" s="114">
        <f>SUM(F43:F45)</f>
        <v>450000</v>
      </c>
      <c r="H43" s="115"/>
      <c r="I43" s="112">
        <f>F43*6</f>
        <v>600000</v>
      </c>
      <c r="J43" s="113"/>
      <c r="K43" s="106">
        <f>SUM(I43:J45)</f>
        <v>2700000</v>
      </c>
      <c r="L43" s="107"/>
      <c r="M43" s="72">
        <f>SUM(K43,K47)</f>
        <v>10200000</v>
      </c>
      <c r="N43" s="59"/>
      <c r="O43" s="60"/>
    </row>
    <row r="44" spans="1:15" customFormat="1" ht="15.5" customHeight="1" thickTop="1" thickBot="1" x14ac:dyDescent="0.4">
      <c r="A44" s="99"/>
      <c r="B44" s="99"/>
      <c r="C44" s="102"/>
      <c r="D44" s="104" t="s">
        <v>72</v>
      </c>
      <c r="E44" s="105"/>
      <c r="F44" s="40">
        <v>150000</v>
      </c>
      <c r="G44" s="116"/>
      <c r="H44" s="117"/>
      <c r="I44" s="112">
        <f t="shared" ref="I44:I45" si="2">F44*6</f>
        <v>900000</v>
      </c>
      <c r="J44" s="113"/>
      <c r="K44" s="108"/>
      <c r="L44" s="109"/>
      <c r="M44" s="73"/>
      <c r="N44" s="59"/>
      <c r="O44" s="60"/>
    </row>
    <row r="45" spans="1:15" customFormat="1" ht="15.5" customHeight="1" thickTop="1" thickBot="1" x14ac:dyDescent="0.4">
      <c r="A45" s="100"/>
      <c r="B45" s="100"/>
      <c r="C45" s="103"/>
      <c r="D45" s="104" t="s">
        <v>73</v>
      </c>
      <c r="E45" s="105"/>
      <c r="F45" s="40">
        <v>200000</v>
      </c>
      <c r="G45" s="118"/>
      <c r="H45" s="119"/>
      <c r="I45" s="112">
        <f t="shared" si="2"/>
        <v>1200000</v>
      </c>
      <c r="J45" s="113"/>
      <c r="K45" s="110"/>
      <c r="L45" s="111"/>
      <c r="M45" s="73"/>
      <c r="N45" s="59"/>
      <c r="O45" s="60"/>
    </row>
    <row r="46" spans="1:15" customFormat="1" ht="20.5" thickTop="1" thickBot="1" x14ac:dyDescent="0.5">
      <c r="A46" s="98">
        <v>46298</v>
      </c>
      <c r="B46" s="98">
        <v>46329</v>
      </c>
      <c r="C46" s="101" t="s">
        <v>52</v>
      </c>
      <c r="D46" s="90"/>
      <c r="E46" s="91"/>
      <c r="F46" s="51"/>
      <c r="G46" s="92" t="s">
        <v>62</v>
      </c>
      <c r="H46" s="93"/>
      <c r="I46" s="94" t="s">
        <v>74</v>
      </c>
      <c r="J46" s="95"/>
      <c r="K46" s="96" t="s">
        <v>75</v>
      </c>
      <c r="L46" s="97"/>
      <c r="M46" s="73"/>
      <c r="N46" s="59"/>
      <c r="O46" s="60"/>
    </row>
    <row r="47" spans="1:15" customFormat="1" ht="22" customHeight="1" thickTop="1" thickBot="1" x14ac:dyDescent="0.4">
      <c r="A47" s="99"/>
      <c r="B47" s="99"/>
      <c r="C47" s="102"/>
      <c r="D47" s="104" t="s">
        <v>77</v>
      </c>
      <c r="E47" s="105"/>
      <c r="F47" s="40">
        <v>300000</v>
      </c>
      <c r="G47" s="114">
        <f>SUM(F47:F49)</f>
        <v>1250000</v>
      </c>
      <c r="H47" s="115"/>
      <c r="I47" s="112">
        <f>F47*6</f>
        <v>1800000</v>
      </c>
      <c r="J47" s="113"/>
      <c r="K47" s="106">
        <f>SUM(I47:J49)</f>
        <v>7500000</v>
      </c>
      <c r="L47" s="107"/>
      <c r="M47" s="73"/>
      <c r="N47" s="59"/>
      <c r="O47" s="60"/>
    </row>
    <row r="48" spans="1:15" customFormat="1" ht="15.5" customHeight="1" thickTop="1" thickBot="1" x14ac:dyDescent="0.4">
      <c r="A48" s="99"/>
      <c r="B48" s="99"/>
      <c r="C48" s="102"/>
      <c r="D48" s="104" t="s">
        <v>78</v>
      </c>
      <c r="E48" s="105"/>
      <c r="F48" s="40">
        <v>450000</v>
      </c>
      <c r="G48" s="116"/>
      <c r="H48" s="117"/>
      <c r="I48" s="112">
        <f t="shared" ref="I48:I49" si="3">F48*6</f>
        <v>2700000</v>
      </c>
      <c r="J48" s="113"/>
      <c r="K48" s="108"/>
      <c r="L48" s="109"/>
      <c r="M48" s="73"/>
      <c r="N48" s="59"/>
      <c r="O48" s="60"/>
    </row>
    <row r="49" spans="1:15" customFormat="1" ht="15.5" customHeight="1" thickTop="1" thickBot="1" x14ac:dyDescent="0.4">
      <c r="A49" s="100"/>
      <c r="B49" s="100"/>
      <c r="C49" s="103"/>
      <c r="D49" s="104" t="s">
        <v>79</v>
      </c>
      <c r="E49" s="105"/>
      <c r="F49" s="40">
        <v>500000</v>
      </c>
      <c r="G49" s="118"/>
      <c r="H49" s="119"/>
      <c r="I49" s="112">
        <f t="shared" si="3"/>
        <v>3000000</v>
      </c>
      <c r="J49" s="113"/>
      <c r="K49" s="110"/>
      <c r="L49" s="111"/>
      <c r="M49" s="74"/>
      <c r="N49" s="59"/>
      <c r="O49" s="60"/>
    </row>
    <row r="50" spans="1:15" customFormat="1" ht="25" customHeight="1" thickTop="1" thickBot="1" x14ac:dyDescent="0.5">
      <c r="A50" s="48"/>
      <c r="B50" s="47"/>
      <c r="C50" s="39"/>
      <c r="D50" s="90" t="s">
        <v>20</v>
      </c>
      <c r="E50" s="91"/>
      <c r="F50" s="51" t="s">
        <v>40</v>
      </c>
      <c r="G50" s="92" t="s">
        <v>62</v>
      </c>
      <c r="H50" s="93"/>
      <c r="I50" s="94" t="s">
        <v>84</v>
      </c>
      <c r="J50" s="95"/>
      <c r="K50" s="96" t="s">
        <v>85</v>
      </c>
      <c r="L50" s="97"/>
      <c r="M50" s="52" t="s">
        <v>86</v>
      </c>
      <c r="N50" s="59"/>
      <c r="O50" s="60"/>
    </row>
    <row r="51" spans="1:15" customFormat="1" ht="15.5" customHeight="1" thickTop="1" thickBot="1" x14ac:dyDescent="0.4">
      <c r="A51" s="98">
        <v>46330</v>
      </c>
      <c r="B51" s="98">
        <v>46390</v>
      </c>
      <c r="C51" s="101" t="s">
        <v>53</v>
      </c>
      <c r="D51" s="104" t="s">
        <v>80</v>
      </c>
      <c r="E51" s="105"/>
      <c r="F51" s="40">
        <v>400000</v>
      </c>
      <c r="G51" s="106">
        <f>SUM(F51:F54)</f>
        <v>2050000</v>
      </c>
      <c r="H51" s="107"/>
      <c r="I51" s="112">
        <f>F51*3</f>
        <v>1200000</v>
      </c>
      <c r="J51" s="113"/>
      <c r="K51" s="106">
        <f>SUM(I51:J54)</f>
        <v>6150000</v>
      </c>
      <c r="L51" s="107"/>
      <c r="M51" s="72">
        <f>SUM(K51,K56)</f>
        <v>9900000</v>
      </c>
      <c r="N51" s="59"/>
      <c r="O51" s="60"/>
    </row>
    <row r="52" spans="1:15" customFormat="1" ht="15.5" customHeight="1" thickTop="1" thickBot="1" x14ac:dyDescent="0.4">
      <c r="A52" s="99"/>
      <c r="B52" s="99"/>
      <c r="C52" s="102"/>
      <c r="D52" s="104" t="s">
        <v>81</v>
      </c>
      <c r="E52" s="105"/>
      <c r="F52" s="40">
        <v>600000</v>
      </c>
      <c r="G52" s="108"/>
      <c r="H52" s="109"/>
      <c r="I52" s="112">
        <f t="shared" ref="I52:I54" si="4">F52*3</f>
        <v>1800000</v>
      </c>
      <c r="J52" s="113"/>
      <c r="K52" s="108"/>
      <c r="L52" s="109"/>
      <c r="M52" s="73"/>
      <c r="N52" s="59"/>
      <c r="O52" s="60"/>
    </row>
    <row r="53" spans="1:15" customFormat="1" ht="15.5" customHeight="1" thickTop="1" thickBot="1" x14ac:dyDescent="0.4">
      <c r="A53" s="99"/>
      <c r="B53" s="99"/>
      <c r="C53" s="102"/>
      <c r="D53" s="104" t="s">
        <v>82</v>
      </c>
      <c r="E53" s="105"/>
      <c r="F53" s="40">
        <v>250000</v>
      </c>
      <c r="G53" s="108"/>
      <c r="H53" s="109"/>
      <c r="I53" s="112">
        <f t="shared" si="4"/>
        <v>750000</v>
      </c>
      <c r="J53" s="113"/>
      <c r="K53" s="108"/>
      <c r="L53" s="109"/>
      <c r="M53" s="73"/>
      <c r="N53" s="59"/>
      <c r="O53" s="60"/>
    </row>
    <row r="54" spans="1:15" customFormat="1" ht="15.5" customHeight="1" thickTop="1" thickBot="1" x14ac:dyDescent="0.4">
      <c r="A54" s="100"/>
      <c r="B54" s="100"/>
      <c r="C54" s="103"/>
      <c r="D54" s="104" t="s">
        <v>83</v>
      </c>
      <c r="E54" s="105"/>
      <c r="F54" s="40">
        <v>800000</v>
      </c>
      <c r="G54" s="110"/>
      <c r="H54" s="111"/>
      <c r="I54" s="112">
        <f t="shared" si="4"/>
        <v>2400000</v>
      </c>
      <c r="J54" s="113"/>
      <c r="K54" s="110"/>
      <c r="L54" s="111"/>
      <c r="M54" s="73"/>
      <c r="N54" s="59"/>
      <c r="O54" s="60"/>
    </row>
    <row r="55" spans="1:15" customFormat="1" ht="20.5" thickTop="1" thickBot="1" x14ac:dyDescent="0.5">
      <c r="A55" s="48"/>
      <c r="B55" s="48"/>
      <c r="C55" s="53"/>
      <c r="D55" s="90"/>
      <c r="E55" s="91"/>
      <c r="F55" s="51"/>
      <c r="G55" s="92" t="s">
        <v>62</v>
      </c>
      <c r="H55" s="93"/>
      <c r="I55" s="94" t="s">
        <v>84</v>
      </c>
      <c r="J55" s="95"/>
      <c r="K55" s="96" t="s">
        <v>85</v>
      </c>
      <c r="L55" s="97"/>
      <c r="M55" s="73"/>
      <c r="N55" s="59"/>
      <c r="O55" s="60"/>
    </row>
    <row r="56" spans="1:15" customFormat="1" ht="15.5" customHeight="1" thickTop="1" thickBot="1" x14ac:dyDescent="0.4">
      <c r="A56" s="98">
        <v>46391</v>
      </c>
      <c r="B56" s="98">
        <v>46422</v>
      </c>
      <c r="C56" s="101" t="s">
        <v>54</v>
      </c>
      <c r="D56" s="104" t="s">
        <v>87</v>
      </c>
      <c r="E56" s="105"/>
      <c r="F56" s="40">
        <v>300000</v>
      </c>
      <c r="G56" s="106">
        <f>SUM(F56:F58)</f>
        <v>1250000</v>
      </c>
      <c r="H56" s="107"/>
      <c r="I56" s="112">
        <f>F56*3</f>
        <v>900000</v>
      </c>
      <c r="J56" s="113"/>
      <c r="K56" s="106">
        <f>SUM(I56:J58)</f>
        <v>3750000</v>
      </c>
      <c r="L56" s="107"/>
      <c r="M56" s="73"/>
      <c r="N56" s="59"/>
      <c r="O56" s="60"/>
    </row>
    <row r="57" spans="1:15" customFormat="1" ht="23" customHeight="1" thickTop="1" thickBot="1" x14ac:dyDescent="0.4">
      <c r="A57" s="99"/>
      <c r="B57" s="99"/>
      <c r="C57" s="102"/>
      <c r="D57" s="104" t="s">
        <v>88</v>
      </c>
      <c r="E57" s="105"/>
      <c r="F57" s="40">
        <v>450000</v>
      </c>
      <c r="G57" s="108"/>
      <c r="H57" s="109"/>
      <c r="I57" s="112">
        <f t="shared" ref="I57:I58" si="5">F57*3</f>
        <v>1350000</v>
      </c>
      <c r="J57" s="113"/>
      <c r="K57" s="108"/>
      <c r="L57" s="109"/>
      <c r="M57" s="73"/>
      <c r="N57" s="59"/>
      <c r="O57" s="60"/>
    </row>
    <row r="58" spans="1:15" customFormat="1" ht="15.5" customHeight="1" thickTop="1" thickBot="1" x14ac:dyDescent="0.4">
      <c r="A58" s="100"/>
      <c r="B58" s="100"/>
      <c r="C58" s="103"/>
      <c r="D58" s="104" t="s">
        <v>89</v>
      </c>
      <c r="E58" s="105"/>
      <c r="F58" s="40">
        <v>500000</v>
      </c>
      <c r="G58" s="110"/>
      <c r="H58" s="111"/>
      <c r="I58" s="112">
        <f t="shared" si="5"/>
        <v>1500000</v>
      </c>
      <c r="J58" s="113"/>
      <c r="K58" s="110"/>
      <c r="L58" s="111"/>
      <c r="M58" s="74"/>
      <c r="N58" s="59"/>
      <c r="O58" s="60"/>
    </row>
    <row r="59" spans="1:15" customFormat="1" ht="15.5" thickTop="1" thickBot="1" x14ac:dyDescent="0.4">
      <c r="A59" s="75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7"/>
      <c r="N59" s="59"/>
      <c r="O59" s="60"/>
    </row>
    <row r="60" spans="1:15" customFormat="1" ht="15.5" thickTop="1" thickBot="1" x14ac:dyDescent="0.4">
      <c r="A60" s="86">
        <v>46423</v>
      </c>
      <c r="B60" s="86">
        <v>46434</v>
      </c>
      <c r="C60" s="88" t="s">
        <v>16</v>
      </c>
      <c r="D60" s="78" t="s">
        <v>91</v>
      </c>
      <c r="E60" s="79"/>
      <c r="F60" s="54">
        <v>800000</v>
      </c>
      <c r="G60" s="80" t="s">
        <v>63</v>
      </c>
      <c r="H60" s="81"/>
      <c r="I60" s="80" t="s">
        <v>63</v>
      </c>
      <c r="J60" s="81"/>
      <c r="K60" s="80" t="s">
        <v>63</v>
      </c>
      <c r="L60" s="81"/>
      <c r="M60" s="84">
        <f>SUM(F60:F61)</f>
        <v>1000000</v>
      </c>
      <c r="N60" s="59"/>
      <c r="O60" s="60"/>
    </row>
    <row r="61" spans="1:15" customFormat="1" ht="15.5" thickTop="1" thickBot="1" x14ac:dyDescent="0.4">
      <c r="A61" s="87"/>
      <c r="B61" s="87"/>
      <c r="C61" s="89"/>
      <c r="D61" s="78" t="s">
        <v>90</v>
      </c>
      <c r="E61" s="79"/>
      <c r="F61" s="54">
        <v>200000</v>
      </c>
      <c r="G61" s="82"/>
      <c r="H61" s="83"/>
      <c r="I61" s="82"/>
      <c r="J61" s="83"/>
      <c r="K61" s="82"/>
      <c r="L61" s="83"/>
      <c r="M61" s="85"/>
      <c r="N61" s="61"/>
      <c r="O61" s="62"/>
    </row>
    <row r="62" spans="1:15" ht="15" thickTop="1" x14ac:dyDescent="0.35"/>
  </sheetData>
  <mergeCells count="149">
    <mergeCell ref="C23:C30"/>
    <mergeCell ref="G17:H17"/>
    <mergeCell ref="G18:H22"/>
    <mergeCell ref="A1:XFD1"/>
    <mergeCell ref="A3:A4"/>
    <mergeCell ref="A5:A6"/>
    <mergeCell ref="A7:A8"/>
    <mergeCell ref="A9:A10"/>
    <mergeCell ref="I17:J17"/>
    <mergeCell ref="A23:A30"/>
    <mergeCell ref="B23:B30"/>
    <mergeCell ref="A18:A22"/>
    <mergeCell ref="B18:B22"/>
    <mergeCell ref="C18:C22"/>
    <mergeCell ref="D23:E23"/>
    <mergeCell ref="D24:E24"/>
    <mergeCell ref="D25:E25"/>
    <mergeCell ref="D26:E26"/>
    <mergeCell ref="D27:E27"/>
    <mergeCell ref="I23:L30"/>
    <mergeCell ref="K17:L17"/>
    <mergeCell ref="K18:L22"/>
    <mergeCell ref="G23:H23"/>
    <mergeCell ref="G24:H30"/>
    <mergeCell ref="D28:E28"/>
    <mergeCell ref="D29:E29"/>
    <mergeCell ref="D30:E30"/>
    <mergeCell ref="M18:M30"/>
    <mergeCell ref="D32:E32"/>
    <mergeCell ref="D33:E33"/>
    <mergeCell ref="D34:E34"/>
    <mergeCell ref="G31:H31"/>
    <mergeCell ref="G32:H34"/>
    <mergeCell ref="I31:J31"/>
    <mergeCell ref="I32:J32"/>
    <mergeCell ref="I33:J33"/>
    <mergeCell ref="I34:J34"/>
    <mergeCell ref="K31:L31"/>
    <mergeCell ref="K32:L34"/>
    <mergeCell ref="I18:J18"/>
    <mergeCell ref="I19:J19"/>
    <mergeCell ref="I20:J20"/>
    <mergeCell ref="I21:J21"/>
    <mergeCell ref="I22:J22"/>
    <mergeCell ref="D31:E31"/>
    <mergeCell ref="C32:C34"/>
    <mergeCell ref="B32:B34"/>
    <mergeCell ref="A32:A34"/>
    <mergeCell ref="A35:A41"/>
    <mergeCell ref="B35:B41"/>
    <mergeCell ref="C35:C41"/>
    <mergeCell ref="D35:E35"/>
    <mergeCell ref="D40:E40"/>
    <mergeCell ref="K35:L35"/>
    <mergeCell ref="K36:L41"/>
    <mergeCell ref="M32:M41"/>
    <mergeCell ref="D42:E42"/>
    <mergeCell ref="G42:H42"/>
    <mergeCell ref="I42:J42"/>
    <mergeCell ref="K42:L42"/>
    <mergeCell ref="G36:H41"/>
    <mergeCell ref="I35:J35"/>
    <mergeCell ref="I36:J36"/>
    <mergeCell ref="I37:J37"/>
    <mergeCell ref="I38:J38"/>
    <mergeCell ref="I39:J39"/>
    <mergeCell ref="I40:J40"/>
    <mergeCell ref="I41:J41"/>
    <mergeCell ref="D36:E36"/>
    <mergeCell ref="D37:E37"/>
    <mergeCell ref="D38:E38"/>
    <mergeCell ref="D39:E39"/>
    <mergeCell ref="G35:H35"/>
    <mergeCell ref="D41:E41"/>
    <mergeCell ref="I48:J48"/>
    <mergeCell ref="I49:J49"/>
    <mergeCell ref="K47:L49"/>
    <mergeCell ref="B43:B45"/>
    <mergeCell ref="A43:A45"/>
    <mergeCell ref="G43:H45"/>
    <mergeCell ref="I43:J43"/>
    <mergeCell ref="I44:J44"/>
    <mergeCell ref="I45:J45"/>
    <mergeCell ref="D43:E43"/>
    <mergeCell ref="D44:E44"/>
    <mergeCell ref="D45:E45"/>
    <mergeCell ref="D46:E46"/>
    <mergeCell ref="C43:C45"/>
    <mergeCell ref="A51:A54"/>
    <mergeCell ref="B51:B54"/>
    <mergeCell ref="C51:C54"/>
    <mergeCell ref="D51:E51"/>
    <mergeCell ref="D52:E52"/>
    <mergeCell ref="D53:E53"/>
    <mergeCell ref="D54:E54"/>
    <mergeCell ref="M43:M49"/>
    <mergeCell ref="D50:E50"/>
    <mergeCell ref="G50:H50"/>
    <mergeCell ref="I50:J50"/>
    <mergeCell ref="K50:L50"/>
    <mergeCell ref="B46:B49"/>
    <mergeCell ref="A46:A49"/>
    <mergeCell ref="D47:E47"/>
    <mergeCell ref="D48:E48"/>
    <mergeCell ref="D49:E49"/>
    <mergeCell ref="K43:L45"/>
    <mergeCell ref="G46:H46"/>
    <mergeCell ref="I46:J46"/>
    <mergeCell ref="K46:L46"/>
    <mergeCell ref="C46:C49"/>
    <mergeCell ref="G47:H49"/>
    <mergeCell ref="I47:J47"/>
    <mergeCell ref="D57:E57"/>
    <mergeCell ref="D58:E58"/>
    <mergeCell ref="G56:H58"/>
    <mergeCell ref="I56:J56"/>
    <mergeCell ref="I57:J57"/>
    <mergeCell ref="I58:J58"/>
    <mergeCell ref="K56:L58"/>
    <mergeCell ref="I51:J51"/>
    <mergeCell ref="I52:J52"/>
    <mergeCell ref="I53:J53"/>
    <mergeCell ref="I54:J54"/>
    <mergeCell ref="K51:L54"/>
    <mergeCell ref="G51:H54"/>
    <mergeCell ref="A62:XFD1048576"/>
    <mergeCell ref="N18:O61"/>
    <mergeCell ref="N17:O17"/>
    <mergeCell ref="A15:O16"/>
    <mergeCell ref="F2:O14"/>
    <mergeCell ref="M51:M58"/>
    <mergeCell ref="A59:M59"/>
    <mergeCell ref="D61:E61"/>
    <mergeCell ref="G60:H61"/>
    <mergeCell ref="I60:J61"/>
    <mergeCell ref="K60:L61"/>
    <mergeCell ref="M60:M61"/>
    <mergeCell ref="A60:A61"/>
    <mergeCell ref="B60:B61"/>
    <mergeCell ref="C60:C61"/>
    <mergeCell ref="D60:E60"/>
    <mergeCell ref="D55:E55"/>
    <mergeCell ref="G55:H55"/>
    <mergeCell ref="I55:J55"/>
    <mergeCell ref="K55:L55"/>
    <mergeCell ref="A56:A58"/>
    <mergeCell ref="B56:B58"/>
    <mergeCell ref="C56:C58"/>
    <mergeCell ref="D56:E56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AD5EF-E422-4647-A65D-45AB14B17FE2}">
  <dimension ref="A1:O48"/>
  <sheetViews>
    <sheetView zoomScale="49" workbookViewId="0">
      <selection activeCell="G10" sqref="G10:H16"/>
    </sheetView>
  </sheetViews>
  <sheetFormatPr baseColWidth="10" defaultRowHeight="14.5" x14ac:dyDescent="0.35"/>
  <cols>
    <col min="1" max="2" width="15" bestFit="1" customWidth="1"/>
    <col min="3" max="3" width="57.54296875" bestFit="1" customWidth="1"/>
    <col min="4" max="4" width="14.26953125" bestFit="1" customWidth="1"/>
    <col min="5" max="5" width="16.453125" bestFit="1" customWidth="1"/>
    <col min="6" max="6" width="27.90625" bestFit="1" customWidth="1"/>
    <col min="13" max="13" width="19.36328125" customWidth="1"/>
    <col min="15" max="15" width="20.54296875" customWidth="1"/>
  </cols>
  <sheetData>
    <row r="1" spans="1:15" ht="15" thickTop="1" x14ac:dyDescent="0.35">
      <c r="A1" s="205" t="s">
        <v>19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7"/>
    </row>
    <row r="2" spans="1:15" ht="15" thickBot="1" x14ac:dyDescent="0.4">
      <c r="A2" s="208"/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10"/>
    </row>
    <row r="3" spans="1:15" ht="27" thickTop="1" thickBot="1" x14ac:dyDescent="0.65">
      <c r="A3" s="37" t="s">
        <v>1</v>
      </c>
      <c r="B3" s="38" t="s">
        <v>3</v>
      </c>
      <c r="C3" s="38" t="s">
        <v>20</v>
      </c>
      <c r="D3" s="35" t="s">
        <v>21</v>
      </c>
      <c r="E3" s="36" t="s">
        <v>22</v>
      </c>
      <c r="F3" s="35" t="s">
        <v>23</v>
      </c>
      <c r="G3" s="197" t="s">
        <v>24</v>
      </c>
      <c r="H3" s="198"/>
      <c r="I3" s="143" t="s">
        <v>56</v>
      </c>
      <c r="J3" s="144"/>
      <c r="K3" s="172" t="s">
        <v>57</v>
      </c>
      <c r="L3" s="173"/>
      <c r="M3" s="55" t="s">
        <v>58</v>
      </c>
      <c r="N3" s="63" t="s">
        <v>92</v>
      </c>
      <c r="O3" s="64"/>
    </row>
    <row r="4" spans="1:15" ht="17" thickTop="1" thickBot="1" x14ac:dyDescent="0.45">
      <c r="A4" s="98">
        <v>46056</v>
      </c>
      <c r="B4" s="149">
        <v>46096</v>
      </c>
      <c r="C4" s="152" t="s">
        <v>27</v>
      </c>
      <c r="D4" s="26" t="s">
        <v>28</v>
      </c>
      <c r="E4" s="27" t="s">
        <v>29</v>
      </c>
      <c r="F4" s="44">
        <v>4500000</v>
      </c>
      <c r="G4" s="199">
        <f>SUM(F4:F8)</f>
        <v>22300000</v>
      </c>
      <c r="H4" s="200"/>
      <c r="I4" s="190">
        <f>F4*12</f>
        <v>54000000</v>
      </c>
      <c r="J4" s="191"/>
      <c r="K4" s="174">
        <f>SUM(I4:J8)</f>
        <v>267600000</v>
      </c>
      <c r="L4" s="175"/>
      <c r="M4" s="130">
        <f>SUM(G10,K4)</f>
        <v>273505000</v>
      </c>
      <c r="N4" s="57">
        <f>SUM(M4,M18,M29,M37,M46)</f>
        <v>362505000</v>
      </c>
      <c r="O4" s="58"/>
    </row>
    <row r="5" spans="1:15" ht="17" thickTop="1" thickBot="1" x14ac:dyDescent="0.45">
      <c r="A5" s="99"/>
      <c r="B5" s="150"/>
      <c r="C5" s="153"/>
      <c r="D5" s="26" t="s">
        <v>30</v>
      </c>
      <c r="E5" s="28" t="s">
        <v>31</v>
      </c>
      <c r="F5" s="45">
        <v>3800000</v>
      </c>
      <c r="G5" s="201"/>
      <c r="H5" s="202"/>
      <c r="I5" s="190">
        <f t="shared" ref="I5:I8" si="0">F5*12</f>
        <v>45600000</v>
      </c>
      <c r="J5" s="191"/>
      <c r="K5" s="176"/>
      <c r="L5" s="177"/>
      <c r="M5" s="131"/>
      <c r="N5" s="59"/>
      <c r="O5" s="60"/>
    </row>
    <row r="6" spans="1:15" ht="17" thickTop="1" thickBot="1" x14ac:dyDescent="0.45">
      <c r="A6" s="99"/>
      <c r="B6" s="150"/>
      <c r="C6" s="153"/>
      <c r="D6" s="29" t="s">
        <v>32</v>
      </c>
      <c r="E6" s="30" t="s">
        <v>33</v>
      </c>
      <c r="F6" s="46">
        <v>5500000</v>
      </c>
      <c r="G6" s="201"/>
      <c r="H6" s="202"/>
      <c r="I6" s="190">
        <f t="shared" si="0"/>
        <v>66000000</v>
      </c>
      <c r="J6" s="191"/>
      <c r="K6" s="176"/>
      <c r="L6" s="177"/>
      <c r="M6" s="131"/>
      <c r="N6" s="59"/>
      <c r="O6" s="60"/>
    </row>
    <row r="7" spans="1:15" ht="17" thickTop="1" thickBot="1" x14ac:dyDescent="0.45">
      <c r="A7" s="99"/>
      <c r="B7" s="150"/>
      <c r="C7" s="153"/>
      <c r="D7" s="25" t="s">
        <v>34</v>
      </c>
      <c r="E7" s="31" t="s">
        <v>35</v>
      </c>
      <c r="F7" s="45">
        <v>5000000</v>
      </c>
      <c r="G7" s="201"/>
      <c r="H7" s="202"/>
      <c r="I7" s="190">
        <f t="shared" si="0"/>
        <v>60000000</v>
      </c>
      <c r="J7" s="191"/>
      <c r="K7" s="176"/>
      <c r="L7" s="177"/>
      <c r="M7" s="131"/>
      <c r="N7" s="59"/>
      <c r="O7" s="60"/>
    </row>
    <row r="8" spans="1:15" ht="17" thickTop="1" thickBot="1" x14ac:dyDescent="0.45">
      <c r="A8" s="148"/>
      <c r="B8" s="151"/>
      <c r="C8" s="154"/>
      <c r="D8" s="33" t="s">
        <v>36</v>
      </c>
      <c r="E8" s="32" t="s">
        <v>37</v>
      </c>
      <c r="F8" s="45">
        <v>3500000</v>
      </c>
      <c r="G8" s="203"/>
      <c r="H8" s="204"/>
      <c r="I8" s="192">
        <f t="shared" si="0"/>
        <v>42000000</v>
      </c>
      <c r="J8" s="193"/>
      <c r="K8" s="178"/>
      <c r="L8" s="179"/>
      <c r="M8" s="131"/>
      <c r="N8" s="59"/>
      <c r="O8" s="60"/>
    </row>
    <row r="9" spans="1:15" ht="20.5" thickTop="1" thickBot="1" x14ac:dyDescent="0.4">
      <c r="A9" s="145">
        <v>46096</v>
      </c>
      <c r="B9" s="145">
        <v>46145</v>
      </c>
      <c r="C9" s="194" t="s">
        <v>38</v>
      </c>
      <c r="D9" s="155" t="s">
        <v>39</v>
      </c>
      <c r="E9" s="156"/>
      <c r="F9" s="34" t="s">
        <v>40</v>
      </c>
      <c r="G9" s="180" t="s">
        <v>41</v>
      </c>
      <c r="H9" s="181"/>
      <c r="I9" s="163" t="s">
        <v>55</v>
      </c>
      <c r="J9" s="164"/>
      <c r="K9" s="164"/>
      <c r="L9" s="165"/>
      <c r="M9" s="131"/>
      <c r="N9" s="59"/>
      <c r="O9" s="60"/>
    </row>
    <row r="10" spans="1:15" ht="17" thickTop="1" thickBot="1" x14ac:dyDescent="0.4">
      <c r="A10" s="146"/>
      <c r="B10" s="146"/>
      <c r="C10" s="195"/>
      <c r="D10" s="157" t="s">
        <v>42</v>
      </c>
      <c r="E10" s="158"/>
      <c r="F10" s="41">
        <v>1250000</v>
      </c>
      <c r="G10" s="182">
        <f>SUM(F10:F16)</f>
        <v>5905000</v>
      </c>
      <c r="H10" s="183"/>
      <c r="I10" s="166"/>
      <c r="J10" s="167"/>
      <c r="K10" s="167"/>
      <c r="L10" s="168"/>
      <c r="M10" s="131"/>
      <c r="N10" s="59"/>
      <c r="O10" s="60"/>
    </row>
    <row r="11" spans="1:15" ht="17" thickTop="1" thickBot="1" x14ac:dyDescent="0.4">
      <c r="A11" s="146"/>
      <c r="B11" s="146"/>
      <c r="C11" s="195"/>
      <c r="D11" s="159" t="s">
        <v>43</v>
      </c>
      <c r="E11" s="160"/>
      <c r="F11" s="42">
        <v>450000</v>
      </c>
      <c r="G11" s="184"/>
      <c r="H11" s="185"/>
      <c r="I11" s="166"/>
      <c r="J11" s="167"/>
      <c r="K11" s="167"/>
      <c r="L11" s="168"/>
      <c r="M11" s="131"/>
      <c r="N11" s="59"/>
      <c r="O11" s="60"/>
    </row>
    <row r="12" spans="1:15" ht="17" thickTop="1" thickBot="1" x14ac:dyDescent="0.4">
      <c r="A12" s="146"/>
      <c r="B12" s="146"/>
      <c r="C12" s="195"/>
      <c r="D12" s="159" t="s">
        <v>44</v>
      </c>
      <c r="E12" s="160"/>
      <c r="F12" s="42">
        <v>400000</v>
      </c>
      <c r="G12" s="184"/>
      <c r="H12" s="185"/>
      <c r="I12" s="166"/>
      <c r="J12" s="167"/>
      <c r="K12" s="167"/>
      <c r="L12" s="168"/>
      <c r="M12" s="131"/>
      <c r="N12" s="59"/>
      <c r="O12" s="60"/>
    </row>
    <row r="13" spans="1:15" ht="17" thickTop="1" thickBot="1" x14ac:dyDescent="0.4">
      <c r="A13" s="146"/>
      <c r="B13" s="146"/>
      <c r="C13" s="195"/>
      <c r="D13" s="161" t="s">
        <v>45</v>
      </c>
      <c r="E13" s="162"/>
      <c r="F13" s="42">
        <v>800000</v>
      </c>
      <c r="G13" s="184"/>
      <c r="H13" s="185"/>
      <c r="I13" s="166"/>
      <c r="J13" s="167"/>
      <c r="K13" s="167"/>
      <c r="L13" s="168"/>
      <c r="M13" s="131"/>
      <c r="N13" s="59"/>
      <c r="O13" s="60"/>
    </row>
    <row r="14" spans="1:15" ht="17" thickTop="1" thickBot="1" x14ac:dyDescent="0.4">
      <c r="A14" s="146"/>
      <c r="B14" s="146"/>
      <c r="C14" s="195"/>
      <c r="D14" s="188" t="s">
        <v>46</v>
      </c>
      <c r="E14" s="189"/>
      <c r="F14" s="42">
        <v>200000</v>
      </c>
      <c r="G14" s="184"/>
      <c r="H14" s="185"/>
      <c r="I14" s="166"/>
      <c r="J14" s="167"/>
      <c r="K14" s="167"/>
      <c r="L14" s="168"/>
      <c r="M14" s="131"/>
      <c r="N14" s="59"/>
      <c r="O14" s="60"/>
    </row>
    <row r="15" spans="1:15" ht="17" thickTop="1" thickBot="1" x14ac:dyDescent="0.4">
      <c r="A15" s="146"/>
      <c r="B15" s="146"/>
      <c r="C15" s="195"/>
      <c r="D15" s="188" t="s">
        <v>47</v>
      </c>
      <c r="E15" s="189"/>
      <c r="F15" s="42">
        <v>2200000</v>
      </c>
      <c r="G15" s="184"/>
      <c r="H15" s="185"/>
      <c r="I15" s="166"/>
      <c r="J15" s="167"/>
      <c r="K15" s="167"/>
      <c r="L15" s="168"/>
      <c r="M15" s="131"/>
      <c r="N15" s="59"/>
      <c r="O15" s="60"/>
    </row>
    <row r="16" spans="1:15" ht="17" thickTop="1" thickBot="1" x14ac:dyDescent="0.4">
      <c r="A16" s="147"/>
      <c r="B16" s="147"/>
      <c r="C16" s="196"/>
      <c r="D16" s="188" t="s">
        <v>48</v>
      </c>
      <c r="E16" s="189"/>
      <c r="F16" s="43">
        <v>605000</v>
      </c>
      <c r="G16" s="186"/>
      <c r="H16" s="187"/>
      <c r="I16" s="169"/>
      <c r="J16" s="170"/>
      <c r="K16" s="170"/>
      <c r="L16" s="171"/>
      <c r="M16" s="132"/>
      <c r="N16" s="59"/>
      <c r="O16" s="60"/>
    </row>
    <row r="17" spans="1:15" ht="21.5" customHeight="1" thickTop="1" thickBot="1" x14ac:dyDescent="0.5">
      <c r="A17" s="48"/>
      <c r="B17" s="47"/>
      <c r="C17" s="39"/>
      <c r="D17" s="128" t="s">
        <v>20</v>
      </c>
      <c r="E17" s="129"/>
      <c r="F17" s="34" t="s">
        <v>40</v>
      </c>
      <c r="G17" s="133" t="s">
        <v>62</v>
      </c>
      <c r="H17" s="134"/>
      <c r="I17" s="94" t="s">
        <v>25</v>
      </c>
      <c r="J17" s="95"/>
      <c r="K17" s="96" t="s">
        <v>26</v>
      </c>
      <c r="L17" s="97"/>
      <c r="M17" s="50" t="s">
        <v>70</v>
      </c>
      <c r="N17" s="59"/>
      <c r="O17" s="60"/>
    </row>
    <row r="18" spans="1:15" ht="23.5" customHeight="1" thickTop="1" thickBot="1" x14ac:dyDescent="0.4">
      <c r="A18" s="98">
        <v>46146</v>
      </c>
      <c r="B18" s="98">
        <v>46199</v>
      </c>
      <c r="C18" s="101" t="s">
        <v>49</v>
      </c>
      <c r="D18" s="104" t="s">
        <v>59</v>
      </c>
      <c r="E18" s="105"/>
      <c r="F18" s="40">
        <v>6000000</v>
      </c>
      <c r="G18" s="106">
        <f>SUM(F18:F20)</f>
        <v>6700000</v>
      </c>
      <c r="H18" s="107"/>
      <c r="I18" s="104" t="s">
        <v>63</v>
      </c>
      <c r="J18" s="105"/>
      <c r="K18" s="106">
        <f>SUM(I19:J20,F18)</f>
        <v>14400000</v>
      </c>
      <c r="L18" s="107"/>
      <c r="M18" s="72">
        <f>SUM(K18,K22)</f>
        <v>67800000</v>
      </c>
      <c r="N18" s="59"/>
      <c r="O18" s="60"/>
    </row>
    <row r="19" spans="1:15" ht="36.5" customHeight="1" thickTop="1" thickBot="1" x14ac:dyDescent="0.4">
      <c r="A19" s="99"/>
      <c r="B19" s="99"/>
      <c r="C19" s="102"/>
      <c r="D19" s="104" t="s">
        <v>60</v>
      </c>
      <c r="E19" s="105"/>
      <c r="F19" s="40">
        <v>450000</v>
      </c>
      <c r="G19" s="108"/>
      <c r="H19" s="109"/>
      <c r="I19" s="112">
        <f>F19*12</f>
        <v>5400000</v>
      </c>
      <c r="J19" s="113"/>
      <c r="K19" s="108"/>
      <c r="L19" s="109"/>
      <c r="M19" s="73"/>
      <c r="N19" s="59"/>
      <c r="O19" s="60"/>
    </row>
    <row r="20" spans="1:15" ht="15.5" thickTop="1" thickBot="1" x14ac:dyDescent="0.4">
      <c r="A20" s="100"/>
      <c r="B20" s="100"/>
      <c r="C20" s="103"/>
      <c r="D20" s="104" t="s">
        <v>61</v>
      </c>
      <c r="E20" s="105"/>
      <c r="F20" s="40">
        <v>250000</v>
      </c>
      <c r="G20" s="110"/>
      <c r="H20" s="111"/>
      <c r="I20" s="112">
        <f>F20*12</f>
        <v>3000000</v>
      </c>
      <c r="J20" s="113"/>
      <c r="K20" s="110"/>
      <c r="L20" s="111"/>
      <c r="M20" s="73"/>
      <c r="N20" s="59"/>
      <c r="O20" s="60"/>
    </row>
    <row r="21" spans="1:15" ht="20.5" thickTop="1" thickBot="1" x14ac:dyDescent="0.5">
      <c r="A21" s="98">
        <v>46200</v>
      </c>
      <c r="B21" s="98">
        <v>46236</v>
      </c>
      <c r="C21" s="101" t="s">
        <v>50</v>
      </c>
      <c r="D21" s="90"/>
      <c r="E21" s="91"/>
      <c r="F21" s="51"/>
      <c r="G21" s="92" t="s">
        <v>62</v>
      </c>
      <c r="H21" s="93"/>
      <c r="I21" s="94" t="s">
        <v>25</v>
      </c>
      <c r="J21" s="95"/>
      <c r="K21" s="96" t="s">
        <v>26</v>
      </c>
      <c r="L21" s="97"/>
      <c r="M21" s="73"/>
      <c r="N21" s="59"/>
      <c r="O21" s="60"/>
    </row>
    <row r="22" spans="1:15" ht="15.5" thickTop="1" thickBot="1" x14ac:dyDescent="0.4">
      <c r="A22" s="99"/>
      <c r="B22" s="99"/>
      <c r="C22" s="102"/>
      <c r="D22" s="126" t="s">
        <v>64</v>
      </c>
      <c r="E22" s="127"/>
      <c r="F22" s="49">
        <v>1800000</v>
      </c>
      <c r="G22" s="120">
        <f>SUM(F22:F27)</f>
        <v>4450000</v>
      </c>
      <c r="H22" s="121"/>
      <c r="I22" s="112">
        <f>F22*12</f>
        <v>21600000</v>
      </c>
      <c r="J22" s="113"/>
      <c r="K22" s="114">
        <f>SUM(I22:J27)</f>
        <v>53400000</v>
      </c>
      <c r="L22" s="115"/>
      <c r="M22" s="73"/>
      <c r="N22" s="59"/>
      <c r="O22" s="60"/>
    </row>
    <row r="23" spans="1:15" ht="15.5" thickTop="1" thickBot="1" x14ac:dyDescent="0.4">
      <c r="A23" s="99"/>
      <c r="B23" s="99"/>
      <c r="C23" s="102"/>
      <c r="D23" s="126" t="s">
        <v>65</v>
      </c>
      <c r="E23" s="127"/>
      <c r="F23" s="49">
        <v>800000</v>
      </c>
      <c r="G23" s="122"/>
      <c r="H23" s="123"/>
      <c r="I23" s="112">
        <f t="shared" ref="I23:I27" si="1">F23*12</f>
        <v>9600000</v>
      </c>
      <c r="J23" s="113"/>
      <c r="K23" s="116"/>
      <c r="L23" s="117"/>
      <c r="M23" s="73"/>
      <c r="N23" s="59"/>
      <c r="O23" s="60"/>
    </row>
    <row r="24" spans="1:15" ht="15.5" thickTop="1" thickBot="1" x14ac:dyDescent="0.4">
      <c r="A24" s="99"/>
      <c r="B24" s="99"/>
      <c r="C24" s="102"/>
      <c r="D24" s="126" t="s">
        <v>66</v>
      </c>
      <c r="E24" s="127"/>
      <c r="F24" s="49">
        <v>1200000</v>
      </c>
      <c r="G24" s="122"/>
      <c r="H24" s="123"/>
      <c r="I24" s="112">
        <f t="shared" si="1"/>
        <v>14400000</v>
      </c>
      <c r="J24" s="113"/>
      <c r="K24" s="116"/>
      <c r="L24" s="117"/>
      <c r="M24" s="73"/>
      <c r="N24" s="59"/>
      <c r="O24" s="60"/>
    </row>
    <row r="25" spans="1:15" ht="15.5" thickTop="1" thickBot="1" x14ac:dyDescent="0.4">
      <c r="A25" s="99"/>
      <c r="B25" s="99"/>
      <c r="C25" s="102"/>
      <c r="D25" s="126" t="s">
        <v>67</v>
      </c>
      <c r="E25" s="127"/>
      <c r="F25" s="49">
        <v>300000</v>
      </c>
      <c r="G25" s="122"/>
      <c r="H25" s="123"/>
      <c r="I25" s="112">
        <f t="shared" si="1"/>
        <v>3600000</v>
      </c>
      <c r="J25" s="113"/>
      <c r="K25" s="116"/>
      <c r="L25" s="117"/>
      <c r="M25" s="73"/>
      <c r="N25" s="59"/>
      <c r="O25" s="60"/>
    </row>
    <row r="26" spans="1:15" ht="15.5" thickTop="1" thickBot="1" x14ac:dyDescent="0.4">
      <c r="A26" s="99"/>
      <c r="B26" s="99"/>
      <c r="C26" s="102"/>
      <c r="D26" s="104" t="s">
        <v>68</v>
      </c>
      <c r="E26" s="105"/>
      <c r="F26" s="49">
        <v>150000</v>
      </c>
      <c r="G26" s="122"/>
      <c r="H26" s="123"/>
      <c r="I26" s="112">
        <f t="shared" si="1"/>
        <v>1800000</v>
      </c>
      <c r="J26" s="113"/>
      <c r="K26" s="116"/>
      <c r="L26" s="117"/>
      <c r="M26" s="73"/>
      <c r="N26" s="59"/>
      <c r="O26" s="60"/>
    </row>
    <row r="27" spans="1:15" ht="15.5" thickTop="1" thickBot="1" x14ac:dyDescent="0.4">
      <c r="A27" s="100"/>
      <c r="B27" s="100"/>
      <c r="C27" s="103"/>
      <c r="D27" s="126" t="s">
        <v>69</v>
      </c>
      <c r="E27" s="127"/>
      <c r="F27" s="42">
        <v>200000</v>
      </c>
      <c r="G27" s="124"/>
      <c r="H27" s="125"/>
      <c r="I27" s="112">
        <f t="shared" si="1"/>
        <v>2400000</v>
      </c>
      <c r="J27" s="113"/>
      <c r="K27" s="118"/>
      <c r="L27" s="119"/>
      <c r="M27" s="74"/>
      <c r="N27" s="59"/>
      <c r="O27" s="60"/>
    </row>
    <row r="28" spans="1:15" ht="20.5" thickTop="1" thickBot="1" x14ac:dyDescent="0.5">
      <c r="A28" s="48"/>
      <c r="B28" s="47"/>
      <c r="C28" s="39"/>
      <c r="D28" s="90" t="s">
        <v>20</v>
      </c>
      <c r="E28" s="91"/>
      <c r="F28" s="51" t="s">
        <v>40</v>
      </c>
      <c r="G28" s="92" t="s">
        <v>62</v>
      </c>
      <c r="H28" s="93"/>
      <c r="I28" s="94" t="s">
        <v>74</v>
      </c>
      <c r="J28" s="95"/>
      <c r="K28" s="96" t="s">
        <v>75</v>
      </c>
      <c r="L28" s="97"/>
      <c r="M28" s="52" t="s">
        <v>76</v>
      </c>
      <c r="N28" s="59"/>
      <c r="O28" s="60"/>
    </row>
    <row r="29" spans="1:15" ht="29.5" customHeight="1" thickTop="1" thickBot="1" x14ac:dyDescent="0.4">
      <c r="A29" s="98">
        <v>46237</v>
      </c>
      <c r="B29" s="98">
        <v>46297</v>
      </c>
      <c r="C29" s="101" t="s">
        <v>51</v>
      </c>
      <c r="D29" s="104" t="s">
        <v>71</v>
      </c>
      <c r="E29" s="105"/>
      <c r="F29" s="40">
        <v>100000</v>
      </c>
      <c r="G29" s="114">
        <f>SUM(F29:F31)</f>
        <v>450000</v>
      </c>
      <c r="H29" s="115"/>
      <c r="I29" s="112">
        <f>F29*6</f>
        <v>600000</v>
      </c>
      <c r="J29" s="113"/>
      <c r="K29" s="106">
        <f>SUM(I29:J31)</f>
        <v>2700000</v>
      </c>
      <c r="L29" s="107"/>
      <c r="M29" s="72">
        <f>SUM(K29,K33)</f>
        <v>10200000</v>
      </c>
      <c r="N29" s="59"/>
      <c r="O29" s="60"/>
    </row>
    <row r="30" spans="1:15" ht="15.5" thickTop="1" thickBot="1" x14ac:dyDescent="0.4">
      <c r="A30" s="99"/>
      <c r="B30" s="99"/>
      <c r="C30" s="102"/>
      <c r="D30" s="104" t="s">
        <v>72</v>
      </c>
      <c r="E30" s="105"/>
      <c r="F30" s="40">
        <v>150000</v>
      </c>
      <c r="G30" s="116"/>
      <c r="H30" s="117"/>
      <c r="I30" s="112">
        <f t="shared" ref="I30:I31" si="2">F30*6</f>
        <v>900000</v>
      </c>
      <c r="J30" s="113"/>
      <c r="K30" s="108"/>
      <c r="L30" s="109"/>
      <c r="M30" s="73"/>
      <c r="N30" s="59"/>
      <c r="O30" s="60"/>
    </row>
    <row r="31" spans="1:15" ht="15.5" thickTop="1" thickBot="1" x14ac:dyDescent="0.4">
      <c r="A31" s="100"/>
      <c r="B31" s="100"/>
      <c r="C31" s="103"/>
      <c r="D31" s="104" t="s">
        <v>73</v>
      </c>
      <c r="E31" s="105"/>
      <c r="F31" s="40">
        <v>200000</v>
      </c>
      <c r="G31" s="118"/>
      <c r="H31" s="119"/>
      <c r="I31" s="112">
        <f t="shared" si="2"/>
        <v>1200000</v>
      </c>
      <c r="J31" s="113"/>
      <c r="K31" s="110"/>
      <c r="L31" s="111"/>
      <c r="M31" s="73"/>
      <c r="N31" s="59"/>
      <c r="O31" s="60"/>
    </row>
    <row r="32" spans="1:15" ht="20.5" thickTop="1" thickBot="1" x14ac:dyDescent="0.5">
      <c r="A32" s="98">
        <v>46298</v>
      </c>
      <c r="B32" s="98">
        <v>46329</v>
      </c>
      <c r="C32" s="101" t="s">
        <v>52</v>
      </c>
      <c r="D32" s="90"/>
      <c r="E32" s="91"/>
      <c r="F32" s="51"/>
      <c r="G32" s="92" t="s">
        <v>62</v>
      </c>
      <c r="H32" s="93"/>
      <c r="I32" s="94" t="s">
        <v>74</v>
      </c>
      <c r="J32" s="95"/>
      <c r="K32" s="96" t="s">
        <v>75</v>
      </c>
      <c r="L32" s="97"/>
      <c r="M32" s="73"/>
      <c r="N32" s="59"/>
      <c r="O32" s="60"/>
    </row>
    <row r="33" spans="1:15" ht="15.5" thickTop="1" thickBot="1" x14ac:dyDescent="0.4">
      <c r="A33" s="99"/>
      <c r="B33" s="99"/>
      <c r="C33" s="102"/>
      <c r="D33" s="104" t="s">
        <v>77</v>
      </c>
      <c r="E33" s="105"/>
      <c r="F33" s="40">
        <v>300000</v>
      </c>
      <c r="G33" s="114">
        <f>SUM(F33:F35)</f>
        <v>1250000</v>
      </c>
      <c r="H33" s="115"/>
      <c r="I33" s="112">
        <f>F33*6</f>
        <v>1800000</v>
      </c>
      <c r="J33" s="113"/>
      <c r="K33" s="106">
        <f>SUM(I33:J35)</f>
        <v>7500000</v>
      </c>
      <c r="L33" s="107"/>
      <c r="M33" s="73"/>
      <c r="N33" s="59"/>
      <c r="O33" s="60"/>
    </row>
    <row r="34" spans="1:15" ht="37.5" customHeight="1" thickTop="1" thickBot="1" x14ac:dyDescent="0.4">
      <c r="A34" s="99"/>
      <c r="B34" s="99"/>
      <c r="C34" s="102"/>
      <c r="D34" s="104" t="s">
        <v>78</v>
      </c>
      <c r="E34" s="105"/>
      <c r="F34" s="40">
        <v>450000</v>
      </c>
      <c r="G34" s="116"/>
      <c r="H34" s="117"/>
      <c r="I34" s="112">
        <f t="shared" ref="I34:I35" si="3">F34*6</f>
        <v>2700000</v>
      </c>
      <c r="J34" s="113"/>
      <c r="K34" s="108"/>
      <c r="L34" s="109"/>
      <c r="M34" s="73"/>
      <c r="N34" s="59"/>
      <c r="O34" s="60"/>
    </row>
    <row r="35" spans="1:15" ht="15.5" thickTop="1" thickBot="1" x14ac:dyDescent="0.4">
      <c r="A35" s="100"/>
      <c r="B35" s="100"/>
      <c r="C35" s="103"/>
      <c r="D35" s="104" t="s">
        <v>79</v>
      </c>
      <c r="E35" s="105"/>
      <c r="F35" s="40">
        <v>500000</v>
      </c>
      <c r="G35" s="118"/>
      <c r="H35" s="119"/>
      <c r="I35" s="112">
        <f t="shared" si="3"/>
        <v>3000000</v>
      </c>
      <c r="J35" s="113"/>
      <c r="K35" s="110"/>
      <c r="L35" s="111"/>
      <c r="M35" s="74"/>
      <c r="N35" s="59"/>
      <c r="O35" s="60"/>
    </row>
    <row r="36" spans="1:15" ht="20.5" thickTop="1" thickBot="1" x14ac:dyDescent="0.5">
      <c r="A36" s="48"/>
      <c r="B36" s="47"/>
      <c r="C36" s="39"/>
      <c r="D36" s="90" t="s">
        <v>20</v>
      </c>
      <c r="E36" s="91"/>
      <c r="F36" s="51" t="s">
        <v>40</v>
      </c>
      <c r="G36" s="92" t="s">
        <v>62</v>
      </c>
      <c r="H36" s="93"/>
      <c r="I36" s="94" t="s">
        <v>84</v>
      </c>
      <c r="J36" s="95"/>
      <c r="K36" s="96" t="s">
        <v>85</v>
      </c>
      <c r="L36" s="97"/>
      <c r="M36" s="52" t="s">
        <v>86</v>
      </c>
      <c r="N36" s="59"/>
      <c r="O36" s="60"/>
    </row>
    <row r="37" spans="1:15" ht="15.5" thickTop="1" thickBot="1" x14ac:dyDescent="0.4">
      <c r="A37" s="98">
        <v>46330</v>
      </c>
      <c r="B37" s="98">
        <v>46390</v>
      </c>
      <c r="C37" s="101" t="s">
        <v>53</v>
      </c>
      <c r="D37" s="104" t="s">
        <v>80</v>
      </c>
      <c r="E37" s="105"/>
      <c r="F37" s="40">
        <v>400000</v>
      </c>
      <c r="G37" s="106">
        <f>SUM(F37:F40)</f>
        <v>2050000</v>
      </c>
      <c r="H37" s="107"/>
      <c r="I37" s="112">
        <f>F37*3</f>
        <v>1200000</v>
      </c>
      <c r="J37" s="113"/>
      <c r="K37" s="106">
        <f>SUM(I37:J40)</f>
        <v>6150000</v>
      </c>
      <c r="L37" s="107"/>
      <c r="M37" s="72">
        <f>SUM(K37,K42)</f>
        <v>9900000</v>
      </c>
      <c r="N37" s="59"/>
      <c r="O37" s="60"/>
    </row>
    <row r="38" spans="1:15" ht="15.5" thickTop="1" thickBot="1" x14ac:dyDescent="0.4">
      <c r="A38" s="99"/>
      <c r="B38" s="99"/>
      <c r="C38" s="102"/>
      <c r="D38" s="104" t="s">
        <v>81</v>
      </c>
      <c r="E38" s="105"/>
      <c r="F38" s="40">
        <v>600000</v>
      </c>
      <c r="G38" s="108"/>
      <c r="H38" s="109"/>
      <c r="I38" s="112">
        <f t="shared" ref="I38:I40" si="4">F38*3</f>
        <v>1800000</v>
      </c>
      <c r="J38" s="113"/>
      <c r="K38" s="108"/>
      <c r="L38" s="109"/>
      <c r="M38" s="73"/>
      <c r="N38" s="59"/>
      <c r="O38" s="60"/>
    </row>
    <row r="39" spans="1:15" ht="15.5" thickTop="1" thickBot="1" x14ac:dyDescent="0.4">
      <c r="A39" s="99"/>
      <c r="B39" s="99"/>
      <c r="C39" s="102"/>
      <c r="D39" s="104" t="s">
        <v>82</v>
      </c>
      <c r="E39" s="105"/>
      <c r="F39" s="40">
        <v>250000</v>
      </c>
      <c r="G39" s="108"/>
      <c r="H39" s="109"/>
      <c r="I39" s="112">
        <f t="shared" si="4"/>
        <v>750000</v>
      </c>
      <c r="J39" s="113"/>
      <c r="K39" s="108"/>
      <c r="L39" s="109"/>
      <c r="M39" s="73"/>
      <c r="N39" s="59"/>
      <c r="O39" s="60"/>
    </row>
    <row r="40" spans="1:15" ht="15.5" thickTop="1" thickBot="1" x14ac:dyDescent="0.4">
      <c r="A40" s="100"/>
      <c r="B40" s="100"/>
      <c r="C40" s="103"/>
      <c r="D40" s="104" t="s">
        <v>83</v>
      </c>
      <c r="E40" s="105"/>
      <c r="F40" s="40">
        <v>800000</v>
      </c>
      <c r="G40" s="110"/>
      <c r="H40" s="111"/>
      <c r="I40" s="112">
        <f t="shared" si="4"/>
        <v>2400000</v>
      </c>
      <c r="J40" s="113"/>
      <c r="K40" s="110"/>
      <c r="L40" s="111"/>
      <c r="M40" s="73"/>
      <c r="N40" s="59"/>
      <c r="O40" s="60"/>
    </row>
    <row r="41" spans="1:15" ht="20.5" thickTop="1" thickBot="1" x14ac:dyDescent="0.5">
      <c r="A41" s="48"/>
      <c r="B41" s="48"/>
      <c r="C41" s="53"/>
      <c r="D41" s="90"/>
      <c r="E41" s="91"/>
      <c r="F41" s="51"/>
      <c r="G41" s="92" t="s">
        <v>62</v>
      </c>
      <c r="H41" s="93"/>
      <c r="I41" s="94" t="s">
        <v>84</v>
      </c>
      <c r="J41" s="95"/>
      <c r="K41" s="96" t="s">
        <v>85</v>
      </c>
      <c r="L41" s="97"/>
      <c r="M41" s="73"/>
      <c r="N41" s="59"/>
      <c r="O41" s="60"/>
    </row>
    <row r="42" spans="1:15" ht="24.5" customHeight="1" thickTop="1" thickBot="1" x14ac:dyDescent="0.4">
      <c r="A42" s="98">
        <v>46391</v>
      </c>
      <c r="B42" s="98">
        <v>46422</v>
      </c>
      <c r="C42" s="101" t="s">
        <v>54</v>
      </c>
      <c r="D42" s="104" t="s">
        <v>87</v>
      </c>
      <c r="E42" s="105"/>
      <c r="F42" s="40">
        <v>300000</v>
      </c>
      <c r="G42" s="106">
        <f>SUM(F42:F44)</f>
        <v>1250000</v>
      </c>
      <c r="H42" s="107"/>
      <c r="I42" s="112">
        <f>F42*3</f>
        <v>900000</v>
      </c>
      <c r="J42" s="113"/>
      <c r="K42" s="106">
        <f>SUM(I42:J44)</f>
        <v>3750000</v>
      </c>
      <c r="L42" s="107"/>
      <c r="M42" s="73"/>
      <c r="N42" s="59"/>
      <c r="O42" s="60"/>
    </row>
    <row r="43" spans="1:15" ht="28.5" customHeight="1" thickTop="1" thickBot="1" x14ac:dyDescent="0.4">
      <c r="A43" s="99"/>
      <c r="B43" s="99"/>
      <c r="C43" s="102"/>
      <c r="D43" s="104" t="s">
        <v>88</v>
      </c>
      <c r="E43" s="105"/>
      <c r="F43" s="40">
        <v>450000</v>
      </c>
      <c r="G43" s="108"/>
      <c r="H43" s="109"/>
      <c r="I43" s="112">
        <f t="shared" ref="I43:I44" si="5">F43*3</f>
        <v>1350000</v>
      </c>
      <c r="J43" s="113"/>
      <c r="K43" s="108"/>
      <c r="L43" s="109"/>
      <c r="M43" s="73"/>
      <c r="N43" s="59"/>
      <c r="O43" s="60"/>
    </row>
    <row r="44" spans="1:15" ht="15.5" thickTop="1" thickBot="1" x14ac:dyDescent="0.4">
      <c r="A44" s="100"/>
      <c r="B44" s="100"/>
      <c r="C44" s="103"/>
      <c r="D44" s="104" t="s">
        <v>89</v>
      </c>
      <c r="E44" s="105"/>
      <c r="F44" s="40">
        <v>500000</v>
      </c>
      <c r="G44" s="110"/>
      <c r="H44" s="111"/>
      <c r="I44" s="112">
        <f t="shared" si="5"/>
        <v>1500000</v>
      </c>
      <c r="J44" s="113"/>
      <c r="K44" s="110"/>
      <c r="L44" s="111"/>
      <c r="M44" s="74"/>
      <c r="N44" s="59"/>
      <c r="O44" s="60"/>
    </row>
    <row r="45" spans="1:15" ht="15.5" thickTop="1" thickBot="1" x14ac:dyDescent="0.4">
      <c r="A45" s="75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7"/>
      <c r="N45" s="59"/>
      <c r="O45" s="60"/>
    </row>
    <row r="46" spans="1:15" ht="15.5" thickTop="1" thickBot="1" x14ac:dyDescent="0.4">
      <c r="A46" s="86">
        <v>46423</v>
      </c>
      <c r="B46" s="86">
        <v>46434</v>
      </c>
      <c r="C46" s="88" t="s">
        <v>16</v>
      </c>
      <c r="D46" s="78" t="s">
        <v>91</v>
      </c>
      <c r="E46" s="79"/>
      <c r="F46" s="54">
        <v>800000</v>
      </c>
      <c r="G46" s="80" t="s">
        <v>63</v>
      </c>
      <c r="H46" s="81"/>
      <c r="I46" s="80" t="s">
        <v>63</v>
      </c>
      <c r="J46" s="81"/>
      <c r="K46" s="80" t="s">
        <v>63</v>
      </c>
      <c r="L46" s="81"/>
      <c r="M46" s="84">
        <f>SUM(F46:F47)</f>
        <v>1100000</v>
      </c>
      <c r="N46" s="59"/>
      <c r="O46" s="60"/>
    </row>
    <row r="47" spans="1:15" ht="15.5" thickTop="1" thickBot="1" x14ac:dyDescent="0.4">
      <c r="A47" s="87"/>
      <c r="B47" s="87"/>
      <c r="C47" s="89"/>
      <c r="D47" s="78" t="s">
        <v>90</v>
      </c>
      <c r="E47" s="79"/>
      <c r="F47" s="54">
        <v>300000</v>
      </c>
      <c r="G47" s="82"/>
      <c r="H47" s="83"/>
      <c r="I47" s="82"/>
      <c r="J47" s="83"/>
      <c r="K47" s="82"/>
      <c r="L47" s="83"/>
      <c r="M47" s="85"/>
      <c r="N47" s="61"/>
      <c r="O47" s="62"/>
    </row>
    <row r="48" spans="1:15" ht="15" thickTop="1" x14ac:dyDescent="0.35"/>
  </sheetData>
  <mergeCells count="142">
    <mergeCell ref="A1:O2"/>
    <mergeCell ref="G3:H3"/>
    <mergeCell ref="I3:J3"/>
    <mergeCell ref="K3:L3"/>
    <mergeCell ref="N3:O3"/>
    <mergeCell ref="A4:A8"/>
    <mergeCell ref="B4:B8"/>
    <mergeCell ref="C4:C8"/>
    <mergeCell ref="G4:H8"/>
    <mergeCell ref="I4:J4"/>
    <mergeCell ref="I9:L16"/>
    <mergeCell ref="D10:E10"/>
    <mergeCell ref="G10:H16"/>
    <mergeCell ref="D11:E11"/>
    <mergeCell ref="D12:E12"/>
    <mergeCell ref="K4:L8"/>
    <mergeCell ref="M4:M16"/>
    <mergeCell ref="N4:O47"/>
    <mergeCell ref="I5:J5"/>
    <mergeCell ref="I6:J6"/>
    <mergeCell ref="I7:J7"/>
    <mergeCell ref="I8:J8"/>
    <mergeCell ref="I17:J17"/>
    <mergeCell ref="K17:L17"/>
    <mergeCell ref="K18:L20"/>
    <mergeCell ref="D13:E13"/>
    <mergeCell ref="D14:E14"/>
    <mergeCell ref="D15:E15"/>
    <mergeCell ref="D16:E16"/>
    <mergeCell ref="D17:E17"/>
    <mergeCell ref="G17:H17"/>
    <mergeCell ref="A9:A16"/>
    <mergeCell ref="B9:B16"/>
    <mergeCell ref="C9:C16"/>
    <mergeCell ref="D9:E9"/>
    <mergeCell ref="G9:H9"/>
    <mergeCell ref="M18:M27"/>
    <mergeCell ref="D19:E19"/>
    <mergeCell ref="I19:J19"/>
    <mergeCell ref="D20:E20"/>
    <mergeCell ref="I20:J20"/>
    <mergeCell ref="A21:A27"/>
    <mergeCell ref="B21:B27"/>
    <mergeCell ref="C21:C27"/>
    <mergeCell ref="D21:E21"/>
    <mergeCell ref="G21:H21"/>
    <mergeCell ref="A18:A20"/>
    <mergeCell ref="B18:B20"/>
    <mergeCell ref="C18:C20"/>
    <mergeCell ref="D18:E18"/>
    <mergeCell ref="G18:H20"/>
    <mergeCell ref="I18:J18"/>
    <mergeCell ref="D25:E25"/>
    <mergeCell ref="I25:J25"/>
    <mergeCell ref="D26:E26"/>
    <mergeCell ref="I26:J26"/>
    <mergeCell ref="D27:E27"/>
    <mergeCell ref="I27:J27"/>
    <mergeCell ref="I21:J21"/>
    <mergeCell ref="K21:L21"/>
    <mergeCell ref="D22:E22"/>
    <mergeCell ref="G22:H27"/>
    <mergeCell ref="I22:J22"/>
    <mergeCell ref="K22:L27"/>
    <mergeCell ref="D23:E23"/>
    <mergeCell ref="I23:J23"/>
    <mergeCell ref="D24:E24"/>
    <mergeCell ref="I24:J24"/>
    <mergeCell ref="D28:E28"/>
    <mergeCell ref="G28:H28"/>
    <mergeCell ref="I28:J28"/>
    <mergeCell ref="K28:L28"/>
    <mergeCell ref="A29:A31"/>
    <mergeCell ref="B29:B31"/>
    <mergeCell ref="C29:C31"/>
    <mergeCell ref="D29:E29"/>
    <mergeCell ref="G29:H31"/>
    <mergeCell ref="I29:J29"/>
    <mergeCell ref="K29:L31"/>
    <mergeCell ref="M29:M35"/>
    <mergeCell ref="D30:E30"/>
    <mergeCell ref="I30:J30"/>
    <mergeCell ref="D31:E31"/>
    <mergeCell ref="I31:J31"/>
    <mergeCell ref="K32:L32"/>
    <mergeCell ref="K33:L35"/>
    <mergeCell ref="I34:J34"/>
    <mergeCell ref="D35:E35"/>
    <mergeCell ref="I35:J35"/>
    <mergeCell ref="D36:E36"/>
    <mergeCell ref="G36:H36"/>
    <mergeCell ref="I36:J36"/>
    <mergeCell ref="K36:L36"/>
    <mergeCell ref="A37:A40"/>
    <mergeCell ref="B37:B40"/>
    <mergeCell ref="C37:C40"/>
    <mergeCell ref="D37:E37"/>
    <mergeCell ref="G37:H40"/>
    <mergeCell ref="A32:A35"/>
    <mergeCell ref="B32:B35"/>
    <mergeCell ref="C32:C35"/>
    <mergeCell ref="D32:E32"/>
    <mergeCell ref="G32:H32"/>
    <mergeCell ref="I32:J32"/>
    <mergeCell ref="D33:E33"/>
    <mergeCell ref="G33:H35"/>
    <mergeCell ref="I33:J33"/>
    <mergeCell ref="D34:E34"/>
    <mergeCell ref="I37:J37"/>
    <mergeCell ref="K37:L40"/>
    <mergeCell ref="M37:M44"/>
    <mergeCell ref="D38:E38"/>
    <mergeCell ref="I38:J38"/>
    <mergeCell ref="D39:E39"/>
    <mergeCell ref="I39:J39"/>
    <mergeCell ref="D40:E40"/>
    <mergeCell ref="I40:J40"/>
    <mergeCell ref="D41:E41"/>
    <mergeCell ref="G41:H41"/>
    <mergeCell ref="I41:J41"/>
    <mergeCell ref="K41:L41"/>
    <mergeCell ref="A42:A44"/>
    <mergeCell ref="B42:B44"/>
    <mergeCell ref="C42:C44"/>
    <mergeCell ref="D42:E42"/>
    <mergeCell ref="G42:H44"/>
    <mergeCell ref="I42:J42"/>
    <mergeCell ref="K42:L44"/>
    <mergeCell ref="I46:J47"/>
    <mergeCell ref="K46:L47"/>
    <mergeCell ref="M46:M47"/>
    <mergeCell ref="D47:E47"/>
    <mergeCell ref="D43:E43"/>
    <mergeCell ref="I43:J43"/>
    <mergeCell ref="D44:E44"/>
    <mergeCell ref="I44:J44"/>
    <mergeCell ref="A45:M45"/>
    <mergeCell ref="A46:A47"/>
    <mergeCell ref="B46:B47"/>
    <mergeCell ref="C46:C47"/>
    <mergeCell ref="D46:E46"/>
    <mergeCell ref="G46:H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Cuadro Presupuestal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camilo chaparro ramirez</dc:creator>
  <cp:keywords/>
  <dc:description/>
  <cp:lastModifiedBy>kevin camilo chaparro ramirez</cp:lastModifiedBy>
  <cp:revision/>
  <dcterms:created xsi:type="dcterms:W3CDTF">2026-05-06T19:33:48Z</dcterms:created>
  <dcterms:modified xsi:type="dcterms:W3CDTF">2026-05-08T22:40:23Z</dcterms:modified>
  <cp:category/>
  <cp:contentStatus/>
</cp:coreProperties>
</file>
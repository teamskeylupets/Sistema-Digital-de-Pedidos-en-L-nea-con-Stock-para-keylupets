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OneDrive\Desktop\"/>
    </mc:Choice>
  </mc:AlternateContent>
  <xr:revisionPtr revIDLastSave="0" documentId="8_{610F5653-396C-4804-9252-F71CE701E227}" xr6:coauthVersionLast="47" xr6:coauthVersionMax="47" xr10:uidLastSave="{00000000-0000-0000-0000-000000000000}"/>
  <bookViews>
    <workbookView xWindow="-110" yWindow="-110" windowWidth="19420" windowHeight="11500" xr2:uid="{E7EA3DDB-ACC2-4920-8AD1-0783BDD2A85A}"/>
  </bookViews>
  <sheets>
    <sheet name="Presupuesto 2026" sheetId="1" r:id="rId1"/>
    <sheet name="Riesgos" sheetId="2" r:id="rId2"/>
    <sheet name="PLan De Mantenimineto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8" i="1" l="1"/>
  <c r="G26" i="1"/>
  <c r="G20" i="1"/>
  <c r="G5" i="1"/>
  <c r="G15" i="1"/>
  <c r="G33" i="1"/>
  <c r="G31" i="1"/>
  <c r="G32" i="1"/>
  <c r="G27" i="1"/>
  <c r="G25" i="1"/>
  <c r="G24" i="1"/>
  <c r="G21" i="1"/>
  <c r="G22" i="1"/>
  <c r="G16" i="1"/>
  <c r="G12" i="1"/>
  <c r="G17" i="1"/>
  <c r="G14" i="1"/>
  <c r="G7" i="1"/>
  <c r="G2" i="1"/>
  <c r="G18" i="1"/>
  <c r="G19" i="1"/>
  <c r="G29" i="1"/>
  <c r="G34" i="1"/>
  <c r="G4" i="1"/>
  <c r="G10" i="1"/>
  <c r="G8" i="1"/>
  <c r="F36" i="1"/>
  <c r="F35" i="1"/>
  <c r="G30" i="1"/>
  <c r="G23" i="1"/>
  <c r="G13" i="1"/>
  <c r="G9" i="1"/>
  <c r="G3" i="1"/>
  <c r="G6" i="1"/>
  <c r="I24" i="1"/>
  <c r="I16" i="1"/>
  <c r="I9" i="1"/>
  <c r="I2" i="1"/>
</calcChain>
</file>

<file path=xl/sharedStrings.xml><?xml version="1.0" encoding="utf-8"?>
<sst xmlns="http://schemas.openxmlformats.org/spreadsheetml/2006/main" count="151" uniqueCount="131">
  <si>
    <t>Periodo De Tiempo</t>
  </si>
  <si>
    <t>Item</t>
  </si>
  <si>
    <t>Actividad</t>
  </si>
  <si>
    <t>Fecha Inicio</t>
  </si>
  <si>
    <t>Presupuesto  Individual</t>
  </si>
  <si>
    <t>Presupuesto Total</t>
  </si>
  <si>
    <t>Fecha Final</t>
  </si>
  <si>
    <t>Responsable</t>
  </si>
  <si>
    <t>Proto-diseños y bocetos (mockups)</t>
  </si>
  <si>
    <t>1.1</t>
  </si>
  <si>
    <t>1.2</t>
  </si>
  <si>
    <t>1.3</t>
  </si>
  <si>
    <t>1.4</t>
  </si>
  <si>
    <t>1.5</t>
  </si>
  <si>
    <t>1.6</t>
  </si>
  <si>
    <t>1.7</t>
  </si>
  <si>
    <t>Analista de Sistemas</t>
  </si>
  <si>
    <t>Diseñador UI/UX</t>
  </si>
  <si>
    <t>Duracion(dias)</t>
  </si>
  <si>
    <t>Definición del proyecto y alcance</t>
  </si>
  <si>
    <t>Líder del Proyecto</t>
  </si>
  <si>
    <t>Representación gráfica del proceso actual</t>
  </si>
  <si>
    <t>Recolección y análisis de información</t>
  </si>
  <si>
    <t>Especificaciones técnicas / Historias de usuario</t>
  </si>
  <si>
    <t>Escenarios de uso y documentación</t>
  </si>
  <si>
    <t>Estimación de costos y recursos técnicos</t>
  </si>
  <si>
    <t>Trimestre 2 Diseño de Sistema</t>
  </si>
  <si>
    <t>2.1</t>
  </si>
  <si>
    <t>Normalización de la base de datos (3FN)</t>
  </si>
  <si>
    <t>DBA / Desarrollador</t>
  </si>
  <si>
    <t>2.2</t>
  </si>
  <si>
    <t>Diccionario de datos</t>
  </si>
  <si>
    <t>2.3</t>
  </si>
  <si>
    <t>Modelado relacional de datos</t>
  </si>
  <si>
    <t>2.4</t>
  </si>
  <si>
    <t>Diseño del modelo de clases</t>
  </si>
  <si>
    <t>Desarrollador Backend</t>
  </si>
  <si>
    <t>2.5</t>
  </si>
  <si>
    <t>Diagrama de despliegue de la solución</t>
  </si>
  <si>
    <t>Arquitecto de Software</t>
  </si>
  <si>
    <t>2.6</t>
  </si>
  <si>
    <t>Prototipo navegable HTML/CSS</t>
  </si>
  <si>
    <t>2.7</t>
  </si>
  <si>
    <t>Control de versiones y gestión de ramas</t>
  </si>
  <si>
    <t>DevOps / Desarrollador</t>
  </si>
  <si>
    <t>Trimestre 3 Desarrollo e Integración</t>
  </si>
  <si>
    <t>3.1</t>
  </si>
  <si>
    <t>Construcción de la estructura de datos (DDL)</t>
  </si>
  <si>
    <t>3.2</t>
  </si>
  <si>
    <t>Consultas de datos (DML) y operaciones</t>
  </si>
  <si>
    <t>3.3</t>
  </si>
  <si>
    <t>Implementación de seguridad y cifrado</t>
  </si>
  <si>
    <t>3.4</t>
  </si>
  <si>
    <t>Desarrollo de la lógica Front-End</t>
  </si>
  <si>
    <t>Desarrollador Frontend</t>
  </si>
  <si>
    <t>3.5</t>
  </si>
  <si>
    <t>Control de versiones del código fuente</t>
  </si>
  <si>
    <t>3.6</t>
  </si>
  <si>
    <t>Integración de API REST segura con JWT</t>
  </si>
  <si>
    <t>3.7</t>
  </si>
  <si>
    <t>Consumo del servicio API desde el Front-End</t>
  </si>
  <si>
    <t>3.8</t>
  </si>
  <si>
    <t>Integración y validación final</t>
  </si>
  <si>
    <t>Líder Técnico</t>
  </si>
  <si>
    <t>Trimestre 4 Prueba y Despliegue</t>
  </si>
  <si>
    <t>4.1</t>
  </si>
  <si>
    <t>Sistema completo y funcional al 100%</t>
  </si>
  <si>
    <t>4.2</t>
  </si>
  <si>
    <t>Publicación de la aplicación móvil</t>
  </si>
  <si>
    <t>Desarrollador Mobile</t>
  </si>
  <si>
    <t>4.3</t>
  </si>
  <si>
    <t>Documentación técnica de APIs y módulos</t>
  </si>
  <si>
    <t>4.4</t>
  </si>
  <si>
    <t>Aplicación de metodología ágil</t>
  </si>
  <si>
    <t>Scrum Master</t>
  </si>
  <si>
    <t>4.5</t>
  </si>
  <si>
    <t>Control de versiones y liberaciones</t>
  </si>
  <si>
    <t>4.6</t>
  </si>
  <si>
    <t>Ejecución de pruebas de software</t>
  </si>
  <si>
    <t>Tester / QA</t>
  </si>
  <si>
    <t>4.7</t>
  </si>
  <si>
    <t>Plan de instalación y migración de datos</t>
  </si>
  <si>
    <t>DevOps / DBA</t>
  </si>
  <si>
    <t>4.8</t>
  </si>
  <si>
    <t>Modelo de calidad y métricas</t>
  </si>
  <si>
    <t>Analista de Calidad</t>
  </si>
  <si>
    <t>4.9</t>
  </si>
  <si>
    <t>Elaboración de manuales técnicos y de usuario</t>
  </si>
  <si>
    <t>4.10</t>
  </si>
  <si>
    <t>Despliegue del aplicativo en producción</t>
  </si>
  <si>
    <t>DevOps / Líder del Proyecto</t>
  </si>
  <si>
    <t>4.11</t>
  </si>
  <si>
    <t>Cierre y control de versiones final</t>
  </si>
  <si>
    <t>Trimestre 1. Análisis y Planeación</t>
  </si>
  <si>
    <t>Ingeniero de QA / Tester</t>
  </si>
  <si>
    <t>Fecha Inicio:</t>
  </si>
  <si>
    <t>Fecha Final:</t>
  </si>
  <si>
    <t>⚠️Riesgos</t>
  </si>
  <si>
    <t>Riesgo</t>
  </si>
  <si>
    <t>Probabilidad</t>
  </si>
  <si>
    <t>Impacto</t>
  </si>
  <si>
    <t>Plan Mitigación</t>
  </si>
  <si>
    <t>Fallo En Servidores</t>
  </si>
  <si>
    <t>Alta</t>
  </si>
  <si>
    <t>Alto</t>
  </si>
  <si>
    <t>Rotacion De Personal</t>
  </si>
  <si>
    <t>Media</t>
  </si>
  <si>
    <t>Medio</t>
  </si>
  <si>
    <t>Aumento De Costos</t>
  </si>
  <si>
    <t>Baja</t>
  </si>
  <si>
    <t>Cambio Regulatorio</t>
  </si>
  <si>
    <t>Monitoreo de normativas legales.</t>
  </si>
  <si>
    <t>Reservar un fondo de contingencia.</t>
  </si>
  <si>
    <t>Plan de capacitacion y retención.</t>
  </si>
  <si>
    <t>Implementar Servidor de respaldo.</t>
  </si>
  <si>
    <t>🛠️Plan De Mantenimineto Y Soporte</t>
  </si>
  <si>
    <t>Área</t>
  </si>
  <si>
    <t>Descripción</t>
  </si>
  <si>
    <t>Frecuencia</t>
  </si>
  <si>
    <t>Actualizaciones del Sistema</t>
  </si>
  <si>
    <t>Mensualidad</t>
  </si>
  <si>
    <t>Según se requiera</t>
  </si>
  <si>
    <t>Trimestral</t>
  </si>
  <si>
    <t>24 / 7.</t>
  </si>
  <si>
    <t>Resolucion de fallos y bugs.</t>
  </si>
  <si>
    <t>Mejoras y nuevas versiones del software.</t>
  </si>
  <si>
    <t>Ampliacion de capacidad y funciones.</t>
  </si>
  <si>
    <t>Atención a incidencias y consultas</t>
  </si>
  <si>
    <t>Correción de Errores</t>
  </si>
  <si>
    <t>Escalabilidad</t>
  </si>
  <si>
    <t>Soporte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</si>
</sst>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6"/>
      <color theme="3" tint="0.249977111117893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6"/>
      <color theme="6" tint="-0.249977111117893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</cellStyleXfs>
  <cellXfs count="52">
    <xf numFmtId="0" fontId="0" fillId="0" borderId="0" xfId="0"/>
    <xf numFmtId="0" fontId="2" fillId="2" borderId="2" xfId="2" applyBorder="1"/>
    <xf numFmtId="0" fontId="0" fillId="3" borderId="3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4" fontId="0" fillId="3" borderId="3" xfId="0" applyNumberForma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14" fontId="0" fillId="0" borderId="0" xfId="0" applyNumberForma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textRotation="45"/>
    </xf>
    <xf numFmtId="0" fontId="0" fillId="3" borderId="1" xfId="0" applyFill="1" applyBorder="1" applyAlignment="1">
      <alignment horizontal="center" textRotation="45"/>
    </xf>
    <xf numFmtId="0" fontId="0" fillId="4" borderId="1" xfId="0" applyFill="1" applyBorder="1" applyAlignment="1">
      <alignment horizontal="center" textRotation="45"/>
    </xf>
    <xf numFmtId="0" fontId="0" fillId="5" borderId="1" xfId="0" applyFill="1" applyBorder="1" applyAlignment="1">
      <alignment horizontal="center" vertical="center" textRotation="45"/>
    </xf>
    <xf numFmtId="0" fontId="0" fillId="6" borderId="1" xfId="0" applyFill="1" applyBorder="1" applyAlignment="1">
      <alignment horizontal="center" vertical="center" textRotation="45"/>
    </xf>
    <xf numFmtId="164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6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3" fillId="7" borderId="4" xfId="3" applyFont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15" borderId="4" xfId="0" applyFont="1" applyFill="1" applyBorder="1" applyAlignment="1">
      <alignment horizontal="center"/>
    </xf>
    <xf numFmtId="16" fontId="9" fillId="15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</cellXfs>
  <cellStyles count="4">
    <cellStyle name="20% - Énfasis6" xfId="2" builtinId="50"/>
    <cellStyle name="60% - Énfasis3" xfId="3" builtinId="40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 b="1" u="sng">
                <a:solidFill>
                  <a:schemeClr val="bg1"/>
                </a:solidFill>
              </a:rPr>
              <a:t>Planeamineto</a:t>
            </a:r>
            <a:r>
              <a:rPr lang="es-CO" b="1" u="sng" baseline="0">
                <a:solidFill>
                  <a:schemeClr val="bg1"/>
                </a:solidFill>
              </a:rPr>
              <a:t> 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6227218660095725"/>
          <c:y val="0.15757909763838066"/>
          <c:w val="0.71410968482706128"/>
          <c:h val="0.7920059815214937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'Presupuesto 2026'!$C$2:$C$34</c:f>
              <c:strCache>
                <c:ptCount val="33"/>
                <c:pt idx="0">
                  <c:v>Definición del proyecto y alcance</c:v>
                </c:pt>
                <c:pt idx="1">
                  <c:v>Representación gráfica del proceso actual</c:v>
                </c:pt>
                <c:pt idx="2">
                  <c:v>Recolección y análisis de información</c:v>
                </c:pt>
                <c:pt idx="3">
                  <c:v>Especificaciones técnicas / Historias de usuario</c:v>
                </c:pt>
                <c:pt idx="4">
                  <c:v>Escenarios de uso y documentación</c:v>
                </c:pt>
                <c:pt idx="5">
                  <c:v>Proto-diseños y bocetos (mockups)</c:v>
                </c:pt>
                <c:pt idx="6">
                  <c:v>Estimación de costos y recursos técnicos</c:v>
                </c:pt>
                <c:pt idx="7">
                  <c:v>Normalización de la base de datos (3FN)</c:v>
                </c:pt>
                <c:pt idx="8">
                  <c:v>Diccionario de datos</c:v>
                </c:pt>
                <c:pt idx="9">
                  <c:v>Modelado relacional de datos</c:v>
                </c:pt>
                <c:pt idx="10">
                  <c:v>Diseño del modelo de clases</c:v>
                </c:pt>
                <c:pt idx="11">
                  <c:v>Diagrama de despliegue de la solución</c:v>
                </c:pt>
                <c:pt idx="12">
                  <c:v>Prototipo navegable HTML/CSS</c:v>
                </c:pt>
                <c:pt idx="13">
                  <c:v>Control de versiones y gestión de ramas</c:v>
                </c:pt>
                <c:pt idx="14">
                  <c:v>Construcción de la estructura de datos (DDL)</c:v>
                </c:pt>
                <c:pt idx="15">
                  <c:v>Consultas de datos (DML) y operaciones</c:v>
                </c:pt>
                <c:pt idx="16">
                  <c:v>Implementación de seguridad y cifrado</c:v>
                </c:pt>
                <c:pt idx="17">
                  <c:v>Desarrollo de la lógica Front-End</c:v>
                </c:pt>
                <c:pt idx="18">
                  <c:v>Control de versiones del código fuente</c:v>
                </c:pt>
                <c:pt idx="19">
                  <c:v>Integración de API REST segura con JWT</c:v>
                </c:pt>
                <c:pt idx="20">
                  <c:v>Consumo del servicio API desde el Front-End</c:v>
                </c:pt>
                <c:pt idx="21">
                  <c:v>Integración y validación final</c:v>
                </c:pt>
                <c:pt idx="22">
                  <c:v>Sistema completo y funcional al 100%</c:v>
                </c:pt>
                <c:pt idx="23">
                  <c:v>Publicación de la aplicación móvil</c:v>
                </c:pt>
                <c:pt idx="24">
                  <c:v>Documentación técnica de APIs y módulos</c:v>
                </c:pt>
                <c:pt idx="25">
                  <c:v>Aplicación de metodología ágil</c:v>
                </c:pt>
                <c:pt idx="26">
                  <c:v>Control de versiones y liberaciones</c:v>
                </c:pt>
                <c:pt idx="27">
                  <c:v>Ejecución de pruebas de software</c:v>
                </c:pt>
                <c:pt idx="28">
                  <c:v>Plan de instalación y migración de datos</c:v>
                </c:pt>
                <c:pt idx="29">
                  <c:v>Modelo de calidad y métricas</c:v>
                </c:pt>
                <c:pt idx="30">
                  <c:v>Elaboración de manuales técnicos y de usuario</c:v>
                </c:pt>
                <c:pt idx="31">
                  <c:v>Despliegue del aplicativo en producción</c:v>
                </c:pt>
                <c:pt idx="32">
                  <c:v>Cierre y control de versiones final</c:v>
                </c:pt>
              </c:strCache>
            </c:strRef>
          </c:cat>
          <c:val>
            <c:numRef>
              <c:f>'Presupuesto 2026'!$E$2:$E$34</c:f>
              <c:numCache>
                <c:formatCode>m/d/yyyy</c:formatCode>
                <c:ptCount val="33"/>
                <c:pt idx="0">
                  <c:v>46023</c:v>
                </c:pt>
                <c:pt idx="1">
                  <c:v>46036</c:v>
                </c:pt>
                <c:pt idx="2">
                  <c:v>46049</c:v>
                </c:pt>
                <c:pt idx="3">
                  <c:v>46049</c:v>
                </c:pt>
                <c:pt idx="4">
                  <c:v>46075</c:v>
                </c:pt>
                <c:pt idx="5">
                  <c:v>46088</c:v>
                </c:pt>
                <c:pt idx="6">
                  <c:v>46101</c:v>
                </c:pt>
                <c:pt idx="7">
                  <c:v>46113</c:v>
                </c:pt>
                <c:pt idx="8">
                  <c:v>46126</c:v>
                </c:pt>
                <c:pt idx="9">
                  <c:v>46139</c:v>
                </c:pt>
                <c:pt idx="10">
                  <c:v>46152</c:v>
                </c:pt>
                <c:pt idx="11">
                  <c:v>46165</c:v>
                </c:pt>
                <c:pt idx="12">
                  <c:v>46178</c:v>
                </c:pt>
                <c:pt idx="13">
                  <c:v>46178</c:v>
                </c:pt>
                <c:pt idx="14">
                  <c:v>46203</c:v>
                </c:pt>
                <c:pt idx="15">
                  <c:v>46214</c:v>
                </c:pt>
                <c:pt idx="16">
                  <c:v>46225</c:v>
                </c:pt>
                <c:pt idx="17">
                  <c:v>46236</c:v>
                </c:pt>
                <c:pt idx="18">
                  <c:v>46236</c:v>
                </c:pt>
                <c:pt idx="19">
                  <c:v>46258</c:v>
                </c:pt>
                <c:pt idx="20">
                  <c:v>46269</c:v>
                </c:pt>
                <c:pt idx="21">
                  <c:v>46280</c:v>
                </c:pt>
                <c:pt idx="22">
                  <c:v>46293</c:v>
                </c:pt>
                <c:pt idx="23">
                  <c:v>46301</c:v>
                </c:pt>
                <c:pt idx="24">
                  <c:v>46301</c:v>
                </c:pt>
                <c:pt idx="25">
                  <c:v>46317</c:v>
                </c:pt>
                <c:pt idx="26">
                  <c:v>46317</c:v>
                </c:pt>
                <c:pt idx="27">
                  <c:v>46333</c:v>
                </c:pt>
                <c:pt idx="28">
                  <c:v>46341</c:v>
                </c:pt>
                <c:pt idx="29">
                  <c:v>46349</c:v>
                </c:pt>
                <c:pt idx="30">
                  <c:v>46357</c:v>
                </c:pt>
                <c:pt idx="31">
                  <c:v>46365</c:v>
                </c:pt>
                <c:pt idx="32">
                  <c:v>46373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7-4184-B70B-B0236BEB5D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'Presupuesto 2026'!$C$2:$C$34</c:f>
              <c:strCache>
                <c:ptCount val="33"/>
                <c:pt idx="0">
                  <c:v>Definición del proyecto y alcance</c:v>
                </c:pt>
                <c:pt idx="1">
                  <c:v>Representación gráfica del proceso actual</c:v>
                </c:pt>
                <c:pt idx="2">
                  <c:v>Recolección y análisis de información</c:v>
                </c:pt>
                <c:pt idx="3">
                  <c:v>Especificaciones técnicas / Historias de usuario</c:v>
                </c:pt>
                <c:pt idx="4">
                  <c:v>Escenarios de uso y documentación</c:v>
                </c:pt>
                <c:pt idx="5">
                  <c:v>Proto-diseños y bocetos (mockups)</c:v>
                </c:pt>
                <c:pt idx="6">
                  <c:v>Estimación de costos y recursos técnicos</c:v>
                </c:pt>
                <c:pt idx="7">
                  <c:v>Normalización de la base de datos (3FN)</c:v>
                </c:pt>
                <c:pt idx="8">
                  <c:v>Diccionario de datos</c:v>
                </c:pt>
                <c:pt idx="9">
                  <c:v>Modelado relacional de datos</c:v>
                </c:pt>
                <c:pt idx="10">
                  <c:v>Diseño del modelo de clases</c:v>
                </c:pt>
                <c:pt idx="11">
                  <c:v>Diagrama de despliegue de la solución</c:v>
                </c:pt>
                <c:pt idx="12">
                  <c:v>Prototipo navegable HTML/CSS</c:v>
                </c:pt>
                <c:pt idx="13">
                  <c:v>Control de versiones y gestión de ramas</c:v>
                </c:pt>
                <c:pt idx="14">
                  <c:v>Construcción de la estructura de datos (DDL)</c:v>
                </c:pt>
                <c:pt idx="15">
                  <c:v>Consultas de datos (DML) y operaciones</c:v>
                </c:pt>
                <c:pt idx="16">
                  <c:v>Implementación de seguridad y cifrado</c:v>
                </c:pt>
                <c:pt idx="17">
                  <c:v>Desarrollo de la lógica Front-End</c:v>
                </c:pt>
                <c:pt idx="18">
                  <c:v>Control de versiones del código fuente</c:v>
                </c:pt>
                <c:pt idx="19">
                  <c:v>Integración de API REST segura con JWT</c:v>
                </c:pt>
                <c:pt idx="20">
                  <c:v>Consumo del servicio API desde el Front-End</c:v>
                </c:pt>
                <c:pt idx="21">
                  <c:v>Integración y validación final</c:v>
                </c:pt>
                <c:pt idx="22">
                  <c:v>Sistema completo y funcional al 100%</c:v>
                </c:pt>
                <c:pt idx="23">
                  <c:v>Publicación de la aplicación móvil</c:v>
                </c:pt>
                <c:pt idx="24">
                  <c:v>Documentación técnica de APIs y módulos</c:v>
                </c:pt>
                <c:pt idx="25">
                  <c:v>Aplicación de metodología ágil</c:v>
                </c:pt>
                <c:pt idx="26">
                  <c:v>Control de versiones y liberaciones</c:v>
                </c:pt>
                <c:pt idx="27">
                  <c:v>Ejecución de pruebas de software</c:v>
                </c:pt>
                <c:pt idx="28">
                  <c:v>Plan de instalación y migración de datos</c:v>
                </c:pt>
                <c:pt idx="29">
                  <c:v>Modelo de calidad y métricas</c:v>
                </c:pt>
                <c:pt idx="30">
                  <c:v>Elaboración de manuales técnicos y de usuario</c:v>
                </c:pt>
                <c:pt idx="31">
                  <c:v>Despliegue del aplicativo en producción</c:v>
                </c:pt>
                <c:pt idx="32">
                  <c:v>Cierre y control de versiones final</c:v>
                </c:pt>
              </c:strCache>
            </c:strRef>
          </c:cat>
          <c:val>
            <c:numRef>
              <c:f>'Presupuesto 2026'!$G$2:$G$34</c:f>
              <c:numCache>
                <c:formatCode>General</c:formatCode>
                <c:ptCount val="33"/>
                <c:pt idx="0">
                  <c:v>22</c:v>
                </c:pt>
                <c:pt idx="1">
                  <c:v>13</c:v>
                </c:pt>
                <c:pt idx="2">
                  <c:v>20</c:v>
                </c:pt>
                <c:pt idx="3">
                  <c:v>30</c:v>
                </c:pt>
                <c:pt idx="4">
                  <c:v>13</c:v>
                </c:pt>
                <c:pt idx="5">
                  <c:v>21</c:v>
                </c:pt>
                <c:pt idx="6">
                  <c:v>15</c:v>
                </c:pt>
                <c:pt idx="7">
                  <c:v>13</c:v>
                </c:pt>
                <c:pt idx="8">
                  <c:v>29</c:v>
                </c:pt>
                <c:pt idx="9">
                  <c:v>10</c:v>
                </c:pt>
                <c:pt idx="10">
                  <c:v>25</c:v>
                </c:pt>
                <c:pt idx="11">
                  <c:v>13</c:v>
                </c:pt>
                <c:pt idx="12">
                  <c:v>20</c:v>
                </c:pt>
                <c:pt idx="13">
                  <c:v>30</c:v>
                </c:pt>
                <c:pt idx="14">
                  <c:v>18</c:v>
                </c:pt>
                <c:pt idx="15">
                  <c:v>24</c:v>
                </c:pt>
                <c:pt idx="16">
                  <c:v>18</c:v>
                </c:pt>
                <c:pt idx="17">
                  <c:v>20</c:v>
                </c:pt>
                <c:pt idx="18">
                  <c:v>25</c:v>
                </c:pt>
                <c:pt idx="19">
                  <c:v>16</c:v>
                </c:pt>
                <c:pt idx="20">
                  <c:v>19</c:v>
                </c:pt>
                <c:pt idx="21">
                  <c:v>13</c:v>
                </c:pt>
                <c:pt idx="22">
                  <c:v>8</c:v>
                </c:pt>
                <c:pt idx="23">
                  <c:v>16</c:v>
                </c:pt>
                <c:pt idx="24">
                  <c:v>28</c:v>
                </c:pt>
                <c:pt idx="25">
                  <c:v>12</c:v>
                </c:pt>
                <c:pt idx="26">
                  <c:v>28</c:v>
                </c:pt>
                <c:pt idx="27">
                  <c:v>22</c:v>
                </c:pt>
                <c:pt idx="28">
                  <c:v>8</c:v>
                </c:pt>
                <c:pt idx="29">
                  <c:v>20</c:v>
                </c:pt>
                <c:pt idx="30">
                  <c:v>12</c:v>
                </c:pt>
                <c:pt idx="31">
                  <c:v>24</c:v>
                </c:pt>
                <c:pt idx="3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7-4184-B70B-B0236BEB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392526991"/>
        <c:axId val="1392520271"/>
      </c:barChart>
      <c:catAx>
        <c:axId val="1392526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520271"/>
        <c:crosses val="autoZero"/>
        <c:auto val="1"/>
        <c:lblAlgn val="ctr"/>
        <c:lblOffset val="100"/>
        <c:noMultiLvlLbl val="0"/>
      </c:catAx>
      <c:valAx>
        <c:axId val="1392520271"/>
        <c:scaling>
          <c:orientation val="minMax"/>
          <c:max val="46386"/>
          <c:min val="460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526991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41315</xdr:colOff>
      <xdr:row>0</xdr:row>
      <xdr:rowOff>21129</xdr:rowOff>
    </xdr:from>
    <xdr:to>
      <xdr:col>22</xdr:col>
      <xdr:colOff>448236</xdr:colOff>
      <xdr:row>34</xdr:row>
      <xdr:rowOff>9338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E3CD9B-0B84-5E96-507A-8CDD86BF3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E062-0DA2-4EC7-AC8F-DB67F4C4AFF8}">
  <dimension ref="A1:I36"/>
  <sheetViews>
    <sheetView tabSelected="1" topLeftCell="K8" zoomScale="83" zoomScaleNormal="100" workbookViewId="0">
      <selection activeCell="G29" sqref="G29"/>
    </sheetView>
  </sheetViews>
  <sheetFormatPr baseColWidth="10" defaultRowHeight="14.5" x14ac:dyDescent="0.35"/>
  <cols>
    <col min="1" max="1" width="29.7265625" bestFit="1" customWidth="1"/>
    <col min="2" max="2" width="4.453125" bestFit="1" customWidth="1"/>
    <col min="3" max="3" width="39.7265625" bestFit="1" customWidth="1"/>
    <col min="4" max="4" width="23.08984375" bestFit="1" customWidth="1"/>
    <col min="5" max="5" width="10.54296875" bestFit="1" customWidth="1"/>
    <col min="6" max="6" width="10.6328125" bestFit="1" customWidth="1"/>
    <col min="7" max="7" width="12.81640625" bestFit="1" customWidth="1"/>
    <col min="8" max="8" width="19.453125" bestFit="1" customWidth="1"/>
    <col min="9" max="9" width="15.36328125" bestFit="1" customWidth="1"/>
  </cols>
  <sheetData>
    <row r="1" spans="1:9" ht="15.5" thickTop="1" thickBot="1" x14ac:dyDescent="0.4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6</v>
      </c>
      <c r="G1" s="1" t="s">
        <v>18</v>
      </c>
      <c r="H1" s="1" t="s">
        <v>4</v>
      </c>
      <c r="I1" s="1" t="s">
        <v>5</v>
      </c>
    </row>
    <row r="2" spans="1:9" ht="15.5" thickTop="1" thickBot="1" x14ac:dyDescent="0.4">
      <c r="A2" s="22" t="s">
        <v>93</v>
      </c>
      <c r="B2" s="2" t="s">
        <v>9</v>
      </c>
      <c r="C2" s="2" t="s">
        <v>19</v>
      </c>
      <c r="D2" s="2" t="s">
        <v>20</v>
      </c>
      <c r="E2" s="7">
        <v>46023</v>
      </c>
      <c r="F2" s="7">
        <v>46035</v>
      </c>
      <c r="G2" s="13">
        <f>DAY(22)</f>
        <v>22</v>
      </c>
      <c r="H2" s="17">
        <v>350000</v>
      </c>
      <c r="I2" s="27">
        <f>SUM(H2:H8)</f>
        <v>4000000</v>
      </c>
    </row>
    <row r="3" spans="1:9" ht="15.5" thickTop="1" thickBot="1" x14ac:dyDescent="0.4">
      <c r="A3" s="23"/>
      <c r="B3" s="3" t="s">
        <v>10</v>
      </c>
      <c r="C3" s="3" t="s">
        <v>21</v>
      </c>
      <c r="D3" s="3" t="s">
        <v>16</v>
      </c>
      <c r="E3" s="8">
        <v>46036</v>
      </c>
      <c r="F3" s="8">
        <v>46048</v>
      </c>
      <c r="G3" s="13">
        <f t="shared" ref="G3:G13" si="0">DAY(13)</f>
        <v>13</v>
      </c>
      <c r="H3" s="18">
        <v>450000</v>
      </c>
      <c r="I3" s="28"/>
    </row>
    <row r="4" spans="1:9" ht="15.5" thickTop="1" thickBot="1" x14ac:dyDescent="0.4">
      <c r="A4" s="23"/>
      <c r="B4" s="3" t="s">
        <v>11</v>
      </c>
      <c r="C4" s="3" t="s">
        <v>22</v>
      </c>
      <c r="D4" s="3" t="s">
        <v>16</v>
      </c>
      <c r="E4" s="8">
        <v>46049</v>
      </c>
      <c r="F4" s="8">
        <v>46061</v>
      </c>
      <c r="G4" s="13">
        <f>DAY(20)</f>
        <v>20</v>
      </c>
      <c r="H4" s="18">
        <v>850000</v>
      </c>
      <c r="I4" s="28"/>
    </row>
    <row r="5" spans="1:9" ht="15.5" thickTop="1" thickBot="1" x14ac:dyDescent="0.4">
      <c r="A5" s="23"/>
      <c r="B5" s="3" t="s">
        <v>12</v>
      </c>
      <c r="C5" s="3" t="s">
        <v>23</v>
      </c>
      <c r="D5" s="3" t="s">
        <v>16</v>
      </c>
      <c r="E5" s="8">
        <v>46049</v>
      </c>
      <c r="F5" s="8">
        <v>46074</v>
      </c>
      <c r="G5" s="13">
        <f>DAY(30)</f>
        <v>30</v>
      </c>
      <c r="H5" s="18">
        <v>650000</v>
      </c>
      <c r="I5" s="28"/>
    </row>
    <row r="6" spans="1:9" ht="15.5" thickTop="1" thickBot="1" x14ac:dyDescent="0.4">
      <c r="A6" s="23"/>
      <c r="B6" s="3" t="s">
        <v>13</v>
      </c>
      <c r="C6" s="3" t="s">
        <v>24</v>
      </c>
      <c r="D6" s="3" t="s">
        <v>16</v>
      </c>
      <c r="E6" s="8">
        <v>46075</v>
      </c>
      <c r="F6" s="8">
        <v>46087</v>
      </c>
      <c r="G6" s="13">
        <f t="shared" si="0"/>
        <v>13</v>
      </c>
      <c r="H6" s="18">
        <v>500000</v>
      </c>
      <c r="I6" s="28"/>
    </row>
    <row r="7" spans="1:9" ht="15.5" thickTop="1" thickBot="1" x14ac:dyDescent="0.4">
      <c r="A7" s="23"/>
      <c r="B7" s="3" t="s">
        <v>14</v>
      </c>
      <c r="C7" s="3" t="s">
        <v>8</v>
      </c>
      <c r="D7" s="3" t="s">
        <v>17</v>
      </c>
      <c r="E7" s="8">
        <v>46088</v>
      </c>
      <c r="F7" s="8">
        <v>46100</v>
      </c>
      <c r="G7" s="13">
        <f>DAY(21)</f>
        <v>21</v>
      </c>
      <c r="H7" s="18">
        <v>900000</v>
      </c>
      <c r="I7" s="28"/>
    </row>
    <row r="8" spans="1:9" ht="28" customHeight="1" thickTop="1" thickBot="1" x14ac:dyDescent="0.4">
      <c r="A8" s="23"/>
      <c r="B8" s="3" t="s">
        <v>15</v>
      </c>
      <c r="C8" s="3" t="s">
        <v>25</v>
      </c>
      <c r="D8" s="3" t="s">
        <v>20</v>
      </c>
      <c r="E8" s="8">
        <v>46101</v>
      </c>
      <c r="F8" s="8">
        <v>46112</v>
      </c>
      <c r="G8" s="14">
        <f>DAY(15)</f>
        <v>15</v>
      </c>
      <c r="H8" s="18">
        <v>300000</v>
      </c>
      <c r="I8" s="28"/>
    </row>
    <row r="9" spans="1:9" ht="15.5" thickTop="1" thickBot="1" x14ac:dyDescent="0.4">
      <c r="A9" s="24" t="s">
        <v>26</v>
      </c>
      <c r="B9" s="4" t="s">
        <v>27</v>
      </c>
      <c r="C9" s="4" t="s">
        <v>28</v>
      </c>
      <c r="D9" s="4" t="s">
        <v>29</v>
      </c>
      <c r="E9" s="9">
        <v>46113</v>
      </c>
      <c r="F9" s="9">
        <v>46125</v>
      </c>
      <c r="G9" s="13">
        <f t="shared" si="0"/>
        <v>13</v>
      </c>
      <c r="H9" s="19">
        <v>700000</v>
      </c>
      <c r="I9" s="29">
        <f>SUM(H9:H15)</f>
        <v>5500000</v>
      </c>
    </row>
    <row r="10" spans="1:9" ht="15.5" thickTop="1" thickBot="1" x14ac:dyDescent="0.4">
      <c r="A10" s="24"/>
      <c r="B10" s="4" t="s">
        <v>30</v>
      </c>
      <c r="C10" s="4" t="s">
        <v>31</v>
      </c>
      <c r="D10" s="4" t="s">
        <v>29</v>
      </c>
      <c r="E10" s="9">
        <v>46126</v>
      </c>
      <c r="F10" s="9">
        <v>46138</v>
      </c>
      <c r="G10" s="13">
        <f>DAY(120)</f>
        <v>29</v>
      </c>
      <c r="H10" s="19">
        <v>600000</v>
      </c>
      <c r="I10" s="30"/>
    </row>
    <row r="11" spans="1:9" ht="15.5" thickTop="1" thickBot="1" x14ac:dyDescent="0.4">
      <c r="A11" s="24"/>
      <c r="B11" s="4" t="s">
        <v>32</v>
      </c>
      <c r="C11" s="4" t="s">
        <v>33</v>
      </c>
      <c r="D11" s="4" t="s">
        <v>29</v>
      </c>
      <c r="E11" s="9">
        <v>46139</v>
      </c>
      <c r="F11" s="9">
        <v>46151</v>
      </c>
      <c r="G11" s="13">
        <v>10</v>
      </c>
      <c r="H11" s="19">
        <v>900000</v>
      </c>
      <c r="I11" s="30"/>
    </row>
    <row r="12" spans="1:9" ht="15.5" thickTop="1" thickBot="1" x14ac:dyDescent="0.4">
      <c r="A12" s="24"/>
      <c r="B12" s="4" t="s">
        <v>34</v>
      </c>
      <c r="C12" s="4" t="s">
        <v>35</v>
      </c>
      <c r="D12" s="4" t="s">
        <v>36</v>
      </c>
      <c r="E12" s="9">
        <v>46152</v>
      </c>
      <c r="F12" s="9">
        <v>46164</v>
      </c>
      <c r="G12" s="13">
        <f>DAY(25)</f>
        <v>25</v>
      </c>
      <c r="H12" s="19">
        <v>1000000</v>
      </c>
      <c r="I12" s="30"/>
    </row>
    <row r="13" spans="1:9" ht="15.5" thickTop="1" thickBot="1" x14ac:dyDescent="0.4">
      <c r="A13" s="24"/>
      <c r="B13" s="4" t="s">
        <v>37</v>
      </c>
      <c r="C13" s="4" t="s">
        <v>38</v>
      </c>
      <c r="D13" s="4" t="s">
        <v>39</v>
      </c>
      <c r="E13" s="9">
        <v>46165</v>
      </c>
      <c r="F13" s="9">
        <v>46177</v>
      </c>
      <c r="G13" s="13">
        <f t="shared" si="0"/>
        <v>13</v>
      </c>
      <c r="H13" s="19">
        <v>800000</v>
      </c>
      <c r="I13" s="30"/>
    </row>
    <row r="14" spans="1:9" ht="15.5" thickTop="1" thickBot="1" x14ac:dyDescent="0.4">
      <c r="A14" s="24"/>
      <c r="B14" s="4" t="s">
        <v>40</v>
      </c>
      <c r="C14" s="4" t="s">
        <v>41</v>
      </c>
      <c r="D14" s="4" t="s">
        <v>17</v>
      </c>
      <c r="E14" s="9">
        <v>46178</v>
      </c>
      <c r="F14" s="9">
        <v>46190</v>
      </c>
      <c r="G14" s="13">
        <f>DAY(20)</f>
        <v>20</v>
      </c>
      <c r="H14" s="19">
        <v>1200000</v>
      </c>
      <c r="I14" s="30"/>
    </row>
    <row r="15" spans="1:9" ht="18" customHeight="1" thickTop="1" thickBot="1" x14ac:dyDescent="0.4">
      <c r="A15" s="24"/>
      <c r="B15" s="4" t="s">
        <v>42</v>
      </c>
      <c r="C15" s="4" t="s">
        <v>43</v>
      </c>
      <c r="D15" s="4" t="s">
        <v>44</v>
      </c>
      <c r="E15" s="9">
        <v>46178</v>
      </c>
      <c r="F15" s="9">
        <v>46202</v>
      </c>
      <c r="G15" s="14">
        <f>DAY(30)</f>
        <v>30</v>
      </c>
      <c r="H15" s="19">
        <v>300000</v>
      </c>
      <c r="I15" s="30"/>
    </row>
    <row r="16" spans="1:9" ht="15.5" thickTop="1" thickBot="1" x14ac:dyDescent="0.4">
      <c r="A16" s="25" t="s">
        <v>45</v>
      </c>
      <c r="B16" s="5" t="s">
        <v>46</v>
      </c>
      <c r="C16" s="5" t="s">
        <v>47</v>
      </c>
      <c r="D16" s="5" t="s">
        <v>29</v>
      </c>
      <c r="E16" s="10">
        <v>46203</v>
      </c>
      <c r="F16" s="10">
        <v>46213</v>
      </c>
      <c r="G16" s="15">
        <f>DAY(18)</f>
        <v>18</v>
      </c>
      <c r="H16" s="20">
        <v>900000</v>
      </c>
      <c r="I16" s="31">
        <f>SUM(H16:H23)</f>
        <v>8085000</v>
      </c>
    </row>
    <row r="17" spans="1:9" ht="15.5" thickTop="1" thickBot="1" x14ac:dyDescent="0.4">
      <c r="A17" s="25"/>
      <c r="B17" s="5" t="s">
        <v>48</v>
      </c>
      <c r="C17" s="5" t="s">
        <v>49</v>
      </c>
      <c r="D17" s="5" t="s">
        <v>36</v>
      </c>
      <c r="E17" s="10">
        <v>46214</v>
      </c>
      <c r="F17" s="10">
        <v>46224</v>
      </c>
      <c r="G17" s="15">
        <f>DAY(24)</f>
        <v>24</v>
      </c>
      <c r="H17" s="20">
        <v>1000000</v>
      </c>
      <c r="I17" s="32"/>
    </row>
    <row r="18" spans="1:9" ht="15.5" thickTop="1" thickBot="1" x14ac:dyDescent="0.4">
      <c r="A18" s="25"/>
      <c r="B18" s="5" t="s">
        <v>50</v>
      </c>
      <c r="C18" s="5" t="s">
        <v>51</v>
      </c>
      <c r="D18" s="5" t="s">
        <v>36</v>
      </c>
      <c r="E18" s="10">
        <v>46225</v>
      </c>
      <c r="F18" s="10">
        <v>46235</v>
      </c>
      <c r="G18" s="15">
        <f>DAY(18)</f>
        <v>18</v>
      </c>
      <c r="H18" s="20">
        <v>825000</v>
      </c>
      <c r="I18" s="32"/>
    </row>
    <row r="19" spans="1:9" ht="15.5" thickTop="1" thickBot="1" x14ac:dyDescent="0.4">
      <c r="A19" s="25"/>
      <c r="B19" s="5" t="s">
        <v>52</v>
      </c>
      <c r="C19" s="5" t="s">
        <v>53</v>
      </c>
      <c r="D19" s="5" t="s">
        <v>54</v>
      </c>
      <c r="E19" s="10">
        <v>46236</v>
      </c>
      <c r="F19" s="10">
        <v>46246</v>
      </c>
      <c r="G19" s="15">
        <f>DAY(20)</f>
        <v>20</v>
      </c>
      <c r="H19" s="20">
        <v>1250000</v>
      </c>
      <c r="I19" s="32"/>
    </row>
    <row r="20" spans="1:9" ht="15.5" thickTop="1" thickBot="1" x14ac:dyDescent="0.4">
      <c r="A20" s="25"/>
      <c r="B20" s="5" t="s">
        <v>55</v>
      </c>
      <c r="C20" s="5" t="s">
        <v>56</v>
      </c>
      <c r="D20" s="5" t="s">
        <v>44</v>
      </c>
      <c r="E20" s="10">
        <v>46236</v>
      </c>
      <c r="F20" s="10">
        <v>46257</v>
      </c>
      <c r="G20" s="15">
        <f>DAY(25)</f>
        <v>25</v>
      </c>
      <c r="H20" s="20">
        <v>1525000</v>
      </c>
      <c r="I20" s="32"/>
    </row>
    <row r="21" spans="1:9" ht="15.5" thickTop="1" thickBot="1" x14ac:dyDescent="0.4">
      <c r="A21" s="25"/>
      <c r="B21" s="5" t="s">
        <v>57</v>
      </c>
      <c r="C21" s="5" t="s">
        <v>58</v>
      </c>
      <c r="D21" s="5" t="s">
        <v>36</v>
      </c>
      <c r="E21" s="10">
        <v>46258</v>
      </c>
      <c r="F21" s="10">
        <v>46268</v>
      </c>
      <c r="G21" s="15">
        <f>DAY(16)</f>
        <v>16</v>
      </c>
      <c r="H21" s="20">
        <v>450000</v>
      </c>
      <c r="I21" s="32"/>
    </row>
    <row r="22" spans="1:9" ht="26" customHeight="1" thickTop="1" thickBot="1" x14ac:dyDescent="0.4">
      <c r="A22" s="25"/>
      <c r="B22" s="5" t="s">
        <v>59</v>
      </c>
      <c r="C22" s="5" t="s">
        <v>60</v>
      </c>
      <c r="D22" s="5" t="s">
        <v>54</v>
      </c>
      <c r="E22" s="10">
        <v>46269</v>
      </c>
      <c r="F22" s="10">
        <v>46279</v>
      </c>
      <c r="G22" s="15">
        <f>DAY(19)</f>
        <v>19</v>
      </c>
      <c r="H22" s="20">
        <v>1260000</v>
      </c>
      <c r="I22" s="32"/>
    </row>
    <row r="23" spans="1:9" ht="15.5" thickTop="1" thickBot="1" x14ac:dyDescent="0.4">
      <c r="A23" s="25"/>
      <c r="B23" s="5" t="s">
        <v>61</v>
      </c>
      <c r="C23" s="5" t="s">
        <v>62</v>
      </c>
      <c r="D23" s="5" t="s">
        <v>63</v>
      </c>
      <c r="E23" s="10">
        <v>46280</v>
      </c>
      <c r="F23" s="10">
        <v>46292</v>
      </c>
      <c r="G23" s="13">
        <f>DAY(13)</f>
        <v>13</v>
      </c>
      <c r="H23" s="20">
        <v>875000</v>
      </c>
      <c r="I23" s="32"/>
    </row>
    <row r="24" spans="1:9" ht="15.5" thickTop="1" thickBot="1" x14ac:dyDescent="0.4">
      <c r="A24" s="26" t="s">
        <v>64</v>
      </c>
      <c r="B24" s="6" t="s">
        <v>65</v>
      </c>
      <c r="C24" s="6" t="s">
        <v>66</v>
      </c>
      <c r="D24" s="6" t="s">
        <v>94</v>
      </c>
      <c r="E24" s="11">
        <v>46293</v>
      </c>
      <c r="F24" s="11">
        <v>46300</v>
      </c>
      <c r="G24" s="16">
        <f>DAY(8)</f>
        <v>8</v>
      </c>
      <c r="H24" s="21">
        <v>1050000</v>
      </c>
      <c r="I24" s="33">
        <f>SUM(H24:H34)</f>
        <v>6715000</v>
      </c>
    </row>
    <row r="25" spans="1:9" ht="15.5" thickTop="1" thickBot="1" x14ac:dyDescent="0.4">
      <c r="A25" s="26"/>
      <c r="B25" s="6" t="s">
        <v>67</v>
      </c>
      <c r="C25" s="6" t="s">
        <v>68</v>
      </c>
      <c r="D25" s="6" t="s">
        <v>69</v>
      </c>
      <c r="E25" s="11">
        <v>46301</v>
      </c>
      <c r="F25" s="11">
        <v>46308</v>
      </c>
      <c r="G25" s="16">
        <f>DAY(16)</f>
        <v>16</v>
      </c>
      <c r="H25" s="21">
        <v>630000</v>
      </c>
      <c r="I25" s="34"/>
    </row>
    <row r="26" spans="1:9" ht="15.5" thickTop="1" thickBot="1" x14ac:dyDescent="0.4">
      <c r="A26" s="26"/>
      <c r="B26" s="6" t="s">
        <v>70</v>
      </c>
      <c r="C26" s="6" t="s">
        <v>71</v>
      </c>
      <c r="D26" s="6" t="s">
        <v>16</v>
      </c>
      <c r="E26" s="11">
        <v>46301</v>
      </c>
      <c r="F26" s="11">
        <v>46316</v>
      </c>
      <c r="G26" s="16">
        <f>DAY(28)</f>
        <v>28</v>
      </c>
      <c r="H26" s="21">
        <v>900000</v>
      </c>
      <c r="I26" s="34"/>
    </row>
    <row r="27" spans="1:9" ht="15.5" thickTop="1" thickBot="1" x14ac:dyDescent="0.4">
      <c r="A27" s="26"/>
      <c r="B27" s="6" t="s">
        <v>72</v>
      </c>
      <c r="C27" s="6" t="s">
        <v>73</v>
      </c>
      <c r="D27" s="6" t="s">
        <v>74</v>
      </c>
      <c r="E27" s="11">
        <v>46317</v>
      </c>
      <c r="F27" s="11">
        <v>46324</v>
      </c>
      <c r="G27" s="16">
        <f>DAY(12)</f>
        <v>12</v>
      </c>
      <c r="H27" s="21">
        <v>120000</v>
      </c>
      <c r="I27" s="34"/>
    </row>
    <row r="28" spans="1:9" ht="15.5" thickTop="1" thickBot="1" x14ac:dyDescent="0.4">
      <c r="A28" s="26"/>
      <c r="B28" s="6" t="s">
        <v>75</v>
      </c>
      <c r="C28" s="6" t="s">
        <v>76</v>
      </c>
      <c r="D28" s="6" t="s">
        <v>44</v>
      </c>
      <c r="E28" s="11">
        <v>46317</v>
      </c>
      <c r="F28" s="11">
        <v>46332</v>
      </c>
      <c r="G28" s="16">
        <f>DAY(28)</f>
        <v>28</v>
      </c>
      <c r="H28" s="21">
        <v>600000</v>
      </c>
      <c r="I28" s="34"/>
    </row>
    <row r="29" spans="1:9" ht="15.5" thickTop="1" thickBot="1" x14ac:dyDescent="0.4">
      <c r="A29" s="26"/>
      <c r="B29" s="6" t="s">
        <v>77</v>
      </c>
      <c r="C29" s="6" t="s">
        <v>78</v>
      </c>
      <c r="D29" s="6" t="s">
        <v>79</v>
      </c>
      <c r="E29" s="11">
        <v>46333</v>
      </c>
      <c r="F29" s="11">
        <v>46340</v>
      </c>
      <c r="G29" s="16">
        <f>DAY(22)</f>
        <v>22</v>
      </c>
      <c r="H29" s="21">
        <v>700000</v>
      </c>
      <c r="I29" s="34"/>
    </row>
    <row r="30" spans="1:9" ht="15.5" thickTop="1" thickBot="1" x14ac:dyDescent="0.4">
      <c r="A30" s="26"/>
      <c r="B30" s="6" t="s">
        <v>80</v>
      </c>
      <c r="C30" s="6" t="s">
        <v>81</v>
      </c>
      <c r="D30" s="6" t="s">
        <v>82</v>
      </c>
      <c r="E30" s="11">
        <v>46341</v>
      </c>
      <c r="F30" s="11">
        <v>46348</v>
      </c>
      <c r="G30" s="16">
        <f t="shared" ref="G30" si="1">DAY(8)</f>
        <v>8</v>
      </c>
      <c r="H30" s="21">
        <v>640000</v>
      </c>
      <c r="I30" s="34"/>
    </row>
    <row r="31" spans="1:9" ht="15.5" thickTop="1" thickBot="1" x14ac:dyDescent="0.4">
      <c r="A31" s="26"/>
      <c r="B31" s="6" t="s">
        <v>83</v>
      </c>
      <c r="C31" s="6" t="s">
        <v>84</v>
      </c>
      <c r="D31" s="6" t="s">
        <v>85</v>
      </c>
      <c r="E31" s="11">
        <v>46349</v>
      </c>
      <c r="F31" s="11">
        <v>46356</v>
      </c>
      <c r="G31" s="16">
        <f>DAY(20)</f>
        <v>20</v>
      </c>
      <c r="H31" s="21">
        <v>675000</v>
      </c>
      <c r="I31" s="34"/>
    </row>
    <row r="32" spans="1:9" ht="15.5" thickTop="1" thickBot="1" x14ac:dyDescent="0.4">
      <c r="A32" s="26"/>
      <c r="B32" s="6" t="s">
        <v>86</v>
      </c>
      <c r="C32" s="6" t="s">
        <v>87</v>
      </c>
      <c r="D32" s="6" t="s">
        <v>16</v>
      </c>
      <c r="E32" s="11">
        <v>46357</v>
      </c>
      <c r="F32" s="11">
        <v>46364</v>
      </c>
      <c r="G32" s="16">
        <f>DAY(12)</f>
        <v>12</v>
      </c>
      <c r="H32" s="21">
        <v>380000</v>
      </c>
      <c r="I32" s="34"/>
    </row>
    <row r="33" spans="1:9" ht="15.5" thickTop="1" thickBot="1" x14ac:dyDescent="0.4">
      <c r="A33" s="26"/>
      <c r="B33" s="6" t="s">
        <v>88</v>
      </c>
      <c r="C33" s="6" t="s">
        <v>89</v>
      </c>
      <c r="D33" s="6" t="s">
        <v>90</v>
      </c>
      <c r="E33" s="11">
        <v>46365</v>
      </c>
      <c r="F33" s="11">
        <v>46372</v>
      </c>
      <c r="G33" s="16">
        <f>DAY(24)</f>
        <v>24</v>
      </c>
      <c r="H33" s="21">
        <v>270000</v>
      </c>
      <c r="I33" s="34"/>
    </row>
    <row r="34" spans="1:9" ht="15.5" thickTop="1" thickBot="1" x14ac:dyDescent="0.4">
      <c r="A34" s="26"/>
      <c r="B34" s="6" t="s">
        <v>91</v>
      </c>
      <c r="C34" s="6" t="s">
        <v>92</v>
      </c>
      <c r="D34" s="6" t="s">
        <v>20</v>
      </c>
      <c r="E34" s="11">
        <v>46373</v>
      </c>
      <c r="F34" s="11">
        <v>46382</v>
      </c>
      <c r="G34" s="16">
        <f>DAY(18)</f>
        <v>18</v>
      </c>
      <c r="H34" s="21">
        <v>750000</v>
      </c>
      <c r="I34" s="34"/>
    </row>
    <row r="35" spans="1:9" ht="15" thickTop="1" x14ac:dyDescent="0.35">
      <c r="E35" t="s">
        <v>95</v>
      </c>
      <c r="F35" s="12">
        <f>MIN(E2:E34)</f>
        <v>46023</v>
      </c>
    </row>
    <row r="36" spans="1:9" x14ac:dyDescent="0.35">
      <c r="E36" t="s">
        <v>96</v>
      </c>
      <c r="F36" s="12">
        <f>MAX(F2:F34)</f>
        <v>46382</v>
      </c>
    </row>
  </sheetData>
  <mergeCells count="8">
    <mergeCell ref="A2:A8"/>
    <mergeCell ref="A9:A15"/>
    <mergeCell ref="A16:A23"/>
    <mergeCell ref="A24:A34"/>
    <mergeCell ref="I2:I8"/>
    <mergeCell ref="I9:I15"/>
    <mergeCell ref="I16:I23"/>
    <mergeCell ref="I24:I3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AF7B-09BE-45F6-A842-8401D3E5136C}">
  <dimension ref="A1:H12"/>
  <sheetViews>
    <sheetView workbookViewId="0">
      <selection activeCell="A13" sqref="A13:XFD1048576"/>
    </sheetView>
  </sheetViews>
  <sheetFormatPr baseColWidth="10" defaultRowHeight="14.5" x14ac:dyDescent="0.35"/>
  <cols>
    <col min="1" max="1" width="10.90625" style="36"/>
    <col min="2" max="2" width="17.36328125" style="36" customWidth="1"/>
    <col min="3" max="3" width="10.90625" style="36"/>
    <col min="4" max="4" width="8.54296875" style="36" customWidth="1"/>
    <col min="5" max="5" width="10.90625" style="36"/>
    <col min="6" max="6" width="3.81640625" style="36" customWidth="1"/>
    <col min="7" max="7" width="20.08984375" style="36" customWidth="1"/>
    <col min="8" max="8" width="21.90625" style="36" customWidth="1"/>
    <col min="9" max="16384" width="10.90625" style="36"/>
  </cols>
  <sheetData>
    <row r="1" spans="1:8" ht="14.5" customHeight="1" thickBot="1" x14ac:dyDescent="0.4">
      <c r="A1" s="41" t="s">
        <v>97</v>
      </c>
      <c r="B1" s="41"/>
      <c r="C1" s="41"/>
      <c r="D1" s="41"/>
      <c r="E1" s="41"/>
      <c r="F1" s="41"/>
      <c r="G1" s="41"/>
      <c r="H1" s="41"/>
    </row>
    <row r="2" spans="1:8" ht="29" customHeight="1" thickBot="1" x14ac:dyDescent="0.4">
      <c r="A2" s="41"/>
      <c r="B2" s="41"/>
      <c r="C2" s="41"/>
      <c r="D2" s="41"/>
      <c r="E2" s="41"/>
      <c r="F2" s="41"/>
      <c r="G2" s="41"/>
      <c r="H2" s="41"/>
    </row>
    <row r="3" spans="1:8" ht="14.5" customHeight="1" thickBot="1" x14ac:dyDescent="0.4">
      <c r="A3" s="42" t="s">
        <v>98</v>
      </c>
      <c r="B3" s="42"/>
      <c r="C3" s="43" t="s">
        <v>99</v>
      </c>
      <c r="D3" s="43"/>
      <c r="E3" s="44" t="s">
        <v>100</v>
      </c>
      <c r="F3" s="44"/>
      <c r="G3" s="40" t="s">
        <v>101</v>
      </c>
      <c r="H3" s="40"/>
    </row>
    <row r="4" spans="1:8" ht="14.5" customHeight="1" thickBot="1" x14ac:dyDescent="0.4">
      <c r="A4" s="42"/>
      <c r="B4" s="42"/>
      <c r="C4" s="43"/>
      <c r="D4" s="43"/>
      <c r="E4" s="44"/>
      <c r="F4" s="44"/>
      <c r="G4" s="40"/>
      <c r="H4" s="40"/>
    </row>
    <row r="5" spans="1:8" ht="15" thickBot="1" x14ac:dyDescent="0.4">
      <c r="A5" s="35" t="s">
        <v>102</v>
      </c>
      <c r="B5" s="35"/>
      <c r="C5" s="39" t="s">
        <v>103</v>
      </c>
      <c r="D5" s="39"/>
      <c r="E5" s="38" t="s">
        <v>104</v>
      </c>
      <c r="F5" s="38"/>
      <c r="G5" s="37" t="s">
        <v>114</v>
      </c>
      <c r="H5" s="37"/>
    </row>
    <row r="6" spans="1:8" ht="15" thickBot="1" x14ac:dyDescent="0.4">
      <c r="A6" s="35"/>
      <c r="B6" s="35"/>
      <c r="C6" s="39"/>
      <c r="D6" s="39"/>
      <c r="E6" s="38"/>
      <c r="F6" s="38"/>
      <c r="G6" s="37"/>
      <c r="H6" s="37"/>
    </row>
    <row r="7" spans="1:8" ht="15" thickBot="1" x14ac:dyDescent="0.4">
      <c r="A7" s="35" t="s">
        <v>105</v>
      </c>
      <c r="B7" s="35"/>
      <c r="C7" s="39" t="s">
        <v>106</v>
      </c>
      <c r="D7" s="39"/>
      <c r="E7" s="38" t="s">
        <v>107</v>
      </c>
      <c r="F7" s="38"/>
      <c r="G7" s="37" t="s">
        <v>113</v>
      </c>
      <c r="H7" s="37"/>
    </row>
    <row r="8" spans="1:8" ht="15" thickBot="1" x14ac:dyDescent="0.4">
      <c r="A8" s="35"/>
      <c r="B8" s="35"/>
      <c r="C8" s="39"/>
      <c r="D8" s="39"/>
      <c r="E8" s="38"/>
      <c r="F8" s="38"/>
      <c r="G8" s="37"/>
      <c r="H8" s="37"/>
    </row>
    <row r="9" spans="1:8" ht="15" thickBot="1" x14ac:dyDescent="0.4">
      <c r="A9" s="35" t="s">
        <v>108</v>
      </c>
      <c r="B9" s="35"/>
      <c r="C9" s="39" t="s">
        <v>109</v>
      </c>
      <c r="D9" s="39"/>
      <c r="E9" s="38" t="s">
        <v>104</v>
      </c>
      <c r="F9" s="38"/>
      <c r="G9" s="37" t="s">
        <v>112</v>
      </c>
      <c r="H9" s="37"/>
    </row>
    <row r="10" spans="1:8" ht="15" thickBot="1" x14ac:dyDescent="0.4">
      <c r="A10" s="35"/>
      <c r="B10" s="35"/>
      <c r="C10" s="39"/>
      <c r="D10" s="39"/>
      <c r="E10" s="38"/>
      <c r="F10" s="38"/>
      <c r="G10" s="37"/>
      <c r="H10" s="37"/>
    </row>
    <row r="11" spans="1:8" ht="15" thickBot="1" x14ac:dyDescent="0.4">
      <c r="A11" s="35" t="s">
        <v>110</v>
      </c>
      <c r="B11" s="35"/>
      <c r="C11" s="39" t="s">
        <v>106</v>
      </c>
      <c r="D11" s="39"/>
      <c r="E11" s="38" t="s">
        <v>104</v>
      </c>
      <c r="F11" s="38"/>
      <c r="G11" s="37" t="s">
        <v>111</v>
      </c>
      <c r="H11" s="37"/>
    </row>
    <row r="12" spans="1:8" ht="15" thickBot="1" x14ac:dyDescent="0.4">
      <c r="A12" s="35"/>
      <c r="B12" s="35"/>
      <c r="C12" s="39"/>
      <c r="D12" s="39"/>
      <c r="E12" s="38"/>
      <c r="F12" s="38"/>
      <c r="G12" s="37"/>
      <c r="H12" s="37"/>
    </row>
  </sheetData>
  <mergeCells count="23">
    <mergeCell ref="G3:H4"/>
    <mergeCell ref="A1:H2"/>
    <mergeCell ref="A7:B8"/>
    <mergeCell ref="A9:B10"/>
    <mergeCell ref="A3:B4"/>
    <mergeCell ref="C3:D4"/>
    <mergeCell ref="E3:F4"/>
    <mergeCell ref="A11:B12"/>
    <mergeCell ref="I1:XFD12"/>
    <mergeCell ref="A13:XFD1048576"/>
    <mergeCell ref="G11:H12"/>
    <mergeCell ref="E7:F8"/>
    <mergeCell ref="E9:F10"/>
    <mergeCell ref="E11:F12"/>
    <mergeCell ref="C7:D8"/>
    <mergeCell ref="C9:D10"/>
    <mergeCell ref="C11:D12"/>
    <mergeCell ref="A5:B6"/>
    <mergeCell ref="C5:D6"/>
    <mergeCell ref="E5:F6"/>
    <mergeCell ref="G5:H6"/>
    <mergeCell ref="G7:H8"/>
    <mergeCell ref="G9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9AAB-E1F9-4E06-86BB-73CF7561F869}">
  <dimension ref="A1:G12"/>
  <sheetViews>
    <sheetView workbookViewId="0">
      <selection activeCell="A13" sqref="A13:XFD1048576"/>
    </sheetView>
  </sheetViews>
  <sheetFormatPr baseColWidth="10" defaultRowHeight="14.5" x14ac:dyDescent="0.35"/>
  <cols>
    <col min="1" max="1" width="17.7265625" style="36" customWidth="1"/>
    <col min="2" max="2" width="21.36328125" style="36" customWidth="1"/>
    <col min="3" max="3" width="39.7265625" style="36" customWidth="1"/>
    <col min="4" max="4" width="14.54296875" style="36" customWidth="1"/>
    <col min="5" max="5" width="10.90625" style="36"/>
    <col min="6" max="6" width="10.08984375" style="36" customWidth="1"/>
    <col min="7" max="16384" width="10.90625" style="36"/>
  </cols>
  <sheetData>
    <row r="1" spans="1:7" ht="15" thickBot="1" x14ac:dyDescent="0.4">
      <c r="A1" s="49" t="s">
        <v>115</v>
      </c>
      <c r="B1" s="49"/>
      <c r="C1" s="49"/>
      <c r="D1" s="49"/>
      <c r="E1" s="49"/>
      <c r="F1" s="49"/>
      <c r="G1" s="48"/>
    </row>
    <row r="2" spans="1:7" ht="26.5" customHeight="1" thickBot="1" x14ac:dyDescent="0.4">
      <c r="A2" s="49"/>
      <c r="B2" s="49"/>
      <c r="C2" s="49"/>
      <c r="D2" s="49"/>
      <c r="E2" s="49"/>
      <c r="F2" s="49"/>
      <c r="G2" s="48"/>
    </row>
    <row r="3" spans="1:7" ht="15" thickBot="1" x14ac:dyDescent="0.4">
      <c r="A3" s="42" t="s">
        <v>116</v>
      </c>
      <c r="B3" s="42"/>
      <c r="C3" s="50" t="s">
        <v>117</v>
      </c>
      <c r="D3" s="50"/>
      <c r="E3" s="51" t="s">
        <v>118</v>
      </c>
      <c r="F3" s="51"/>
      <c r="G3" s="48"/>
    </row>
    <row r="4" spans="1:7" ht="15" thickBot="1" x14ac:dyDescent="0.4">
      <c r="A4" s="42"/>
      <c r="B4" s="42"/>
      <c r="C4" s="50"/>
      <c r="D4" s="50"/>
      <c r="E4" s="51"/>
      <c r="F4" s="51"/>
      <c r="G4" s="48"/>
    </row>
    <row r="5" spans="1:7" ht="15" thickBot="1" x14ac:dyDescent="0.4">
      <c r="A5" s="45" t="s">
        <v>119</v>
      </c>
      <c r="B5" s="45"/>
      <c r="C5" s="39" t="s">
        <v>125</v>
      </c>
      <c r="D5" s="39"/>
      <c r="E5" s="46" t="s">
        <v>120</v>
      </c>
      <c r="F5" s="46"/>
      <c r="G5" s="48"/>
    </row>
    <row r="6" spans="1:7" ht="15" thickBot="1" x14ac:dyDescent="0.4">
      <c r="A6" s="45"/>
      <c r="B6" s="45"/>
      <c r="C6" s="39"/>
      <c r="D6" s="39"/>
      <c r="E6" s="46"/>
      <c r="F6" s="46"/>
      <c r="G6" s="48"/>
    </row>
    <row r="7" spans="1:7" ht="15" thickBot="1" x14ac:dyDescent="0.4">
      <c r="A7" s="45" t="s">
        <v>128</v>
      </c>
      <c r="B7" s="45"/>
      <c r="C7" s="39" t="s">
        <v>124</v>
      </c>
      <c r="D7" s="39"/>
      <c r="E7" s="46" t="s">
        <v>121</v>
      </c>
      <c r="F7" s="46"/>
      <c r="G7" s="48"/>
    </row>
    <row r="8" spans="1:7" ht="15" thickBot="1" x14ac:dyDescent="0.4">
      <c r="A8" s="45"/>
      <c r="B8" s="45"/>
      <c r="C8" s="39"/>
      <c r="D8" s="39"/>
      <c r="E8" s="46"/>
      <c r="F8" s="46"/>
      <c r="G8" s="48"/>
    </row>
    <row r="9" spans="1:7" ht="15" thickBot="1" x14ac:dyDescent="0.4">
      <c r="A9" s="45" t="s">
        <v>129</v>
      </c>
      <c r="B9" s="45"/>
      <c r="C9" s="39" t="s">
        <v>126</v>
      </c>
      <c r="D9" s="39"/>
      <c r="E9" s="46" t="s">
        <v>122</v>
      </c>
      <c r="F9" s="46"/>
      <c r="G9" s="48"/>
    </row>
    <row r="10" spans="1:7" ht="15" thickBot="1" x14ac:dyDescent="0.4">
      <c r="A10" s="45"/>
      <c r="B10" s="45"/>
      <c r="C10" s="39"/>
      <c r="D10" s="39"/>
      <c r="E10" s="46"/>
      <c r="F10" s="46"/>
      <c r="G10" s="48"/>
    </row>
    <row r="11" spans="1:7" ht="15" thickBot="1" x14ac:dyDescent="0.4">
      <c r="A11" s="45" t="s">
        <v>130</v>
      </c>
      <c r="B11" s="45"/>
      <c r="C11" s="39" t="s">
        <v>127</v>
      </c>
      <c r="D11" s="39"/>
      <c r="E11" s="47" t="s">
        <v>123</v>
      </c>
      <c r="F11" s="46"/>
      <c r="G11" s="48"/>
    </row>
    <row r="12" spans="1:7" ht="15" thickBot="1" x14ac:dyDescent="0.4">
      <c r="A12" s="45"/>
      <c r="B12" s="45"/>
      <c r="C12" s="39"/>
      <c r="D12" s="39"/>
      <c r="E12" s="46"/>
      <c r="F12" s="46"/>
      <c r="G12" s="48"/>
    </row>
  </sheetData>
  <mergeCells count="18">
    <mergeCell ref="C3:D4"/>
    <mergeCell ref="E3:F4"/>
    <mergeCell ref="A13:XFD1048576"/>
    <mergeCell ref="A9:B10"/>
    <mergeCell ref="A11:B12"/>
    <mergeCell ref="C5:D6"/>
    <mergeCell ref="C7:D8"/>
    <mergeCell ref="C9:D10"/>
    <mergeCell ref="C11:D12"/>
    <mergeCell ref="A5:B6"/>
    <mergeCell ref="A7:B8"/>
    <mergeCell ref="E5:F6"/>
    <mergeCell ref="E7:F8"/>
    <mergeCell ref="E9:F10"/>
    <mergeCell ref="E11:F12"/>
    <mergeCell ref="G1:XFD12"/>
    <mergeCell ref="A1:F2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2026</vt:lpstr>
      <vt:lpstr>Riesgos</vt:lpstr>
      <vt:lpstr>PLan De Mantenimineto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camilo chaparro ramirez</dc:creator>
  <cp:lastModifiedBy>kevin camilo chaparro ramirez</cp:lastModifiedBy>
  <dcterms:created xsi:type="dcterms:W3CDTF">2026-06-06T21:54:32Z</dcterms:created>
  <dcterms:modified xsi:type="dcterms:W3CDTF">2026-06-24T23:32:08Z</dcterms:modified>
</cp:coreProperties>
</file>